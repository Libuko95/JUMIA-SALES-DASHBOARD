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4f3aa39510a2ab5/Documents/"/>
    </mc:Choice>
  </mc:AlternateContent>
  <xr:revisionPtr revIDLastSave="0" documentId="8_{CD08C564-03D0-428B-81C0-E7630451E7E6}" xr6:coauthVersionLast="47" xr6:coauthVersionMax="47" xr10:uidLastSave="{00000000-0000-0000-0000-000000000000}"/>
  <bookViews>
    <workbookView xWindow="-110" yWindow="-110" windowWidth="19420" windowHeight="10300" firstSheet="8" activeTab="8" xr2:uid="{FAE29077-C1D5-4D04-AA6E-BF00A1FE086D}"/>
  </bookViews>
  <sheets>
    <sheet name="Rating category by discount" sheetId="2" r:id="rId1"/>
    <sheet name="Discount percentage by reviews" sheetId="3" r:id="rId2"/>
    <sheet name="Rating by reviews" sheetId="4" r:id="rId3"/>
    <sheet name="Top 5products with the highest " sheetId="6" r:id="rId4"/>
    <sheet name="Top 5products with the lowest r" sheetId="7" r:id="rId5"/>
    <sheet name="Top 10 products with highest di" sheetId="8" r:id="rId6"/>
    <sheet name="Top 10 products with most revie" sheetId="11" r:id="rId7"/>
    <sheet name="Products by rating,discount and" sheetId="12" r:id="rId8"/>
    <sheet name="Top 10 products by discount" sheetId="14" r:id="rId9"/>
    <sheet name="Top 10 products by ratings" sheetId="16" r:id="rId10"/>
    <sheet name="Top 10 products by reviews" sheetId="17" r:id="rId11"/>
    <sheet name="Rating by product" sheetId="19" r:id="rId12"/>
    <sheet name="Discount category by products" sheetId="22" r:id="rId13"/>
    <sheet name="DASHBOARD" sheetId="13" r:id="rId14"/>
    <sheet name="INSIGHTS" sheetId="25" r:id="rId15"/>
    <sheet name="Excel_jumia_dataset (1)" sheetId="1" r:id="rId16"/>
  </sheets>
  <definedNames>
    <definedName name="_xlnm._FilterDatabase" localSheetId="8" hidden="1">'Top 10 products by discount'!$A$3:$B$14</definedName>
    <definedName name="_xlcn.WorksheetConnection_Excel_jumia_dataset1A1I113" hidden="1">'Excel_jumia_dataset (1)'!$A$1:$I$113</definedName>
    <definedName name="Slicer_Percentage_discount_category">#N/A</definedName>
    <definedName name="Slicer_Rating_category">#N/A</definedName>
  </definedNames>
  <calcPr calcId="0"/>
  <pivotCaches>
    <pivotCache cacheId="242" r:id="rId17"/>
    <pivotCache cacheId="364" r:id="rId18"/>
    <pivotCache cacheId="365" r:id="rId19"/>
    <pivotCache cacheId="366" r:id="rId20"/>
    <pivotCache cacheId="367" r:id="rId21"/>
    <pivotCache cacheId="368" r:id="rId22"/>
    <pivotCache cacheId="369" r:id="rId23"/>
    <pivotCache cacheId="370" r:id="rId24"/>
    <pivotCache cacheId="371" r:id="rId25"/>
  </pivotCaches>
  <extLs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xcel_jumia_dataset (1)!$A$1:$I$113"/>
        </x15:modelTables>
      </x15:dataModel>
    </ext>
  </extLst>
</workbook>
</file>

<file path=xl/calcChain.xml><?xml version="1.0" encoding="utf-8"?>
<calcChain xmlns="http://schemas.openxmlformats.org/spreadsheetml/2006/main">
  <c r="F118" i="1" l="1"/>
  <c r="B118" i="1"/>
  <c r="A123" i="1"/>
  <c r="A121" i="1"/>
  <c r="A118" i="1"/>
  <c r="G116" i="1"/>
  <c r="E116" i="1"/>
  <c r="C116" i="1"/>
  <c r="B11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45BF4A-71C0-4B41-9D64-D488856CF2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09667D-945B-4391-A96A-327CED2BFB6A}" name="WorksheetConnection_Excel_jumia_dataset (1)!$A$1:$I$113" type="102" refreshedVersion="8" minRefreshableVersion="5">
    <extLst>
      <ext xmlns:x15="http://schemas.microsoft.com/office/spreadsheetml/2010/11/main" uri="{DE250136-89BD-433C-8126-D09CA5730AF9}">
        <x15:connection id="Range" autoDelete="1">
          <x15:rangePr sourceName="_xlcn.WorksheetConnection_Excel_jumia_dataset1A1I113"/>
        </x15:connection>
      </ext>
    </extLst>
  </connection>
</connections>
</file>

<file path=xl/sharedStrings.xml><?xml version="1.0" encoding="utf-8"?>
<sst xmlns="http://schemas.openxmlformats.org/spreadsheetml/2006/main" count="316" uniqueCount="158">
  <si>
    <t>Product</t>
  </si>
  <si>
    <t>Current price</t>
  </si>
  <si>
    <t>old price</t>
  </si>
  <si>
    <t>Discount</t>
  </si>
  <si>
    <t>Review</t>
  </si>
  <si>
    <t>115  Piece Set Of Multifunctional Precision Screwdrivers</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</si>
  <si>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</si>
  <si>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</si>
  <si>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</si>
  <si>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</si>
  <si>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</si>
  <si>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</si>
  <si>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</si>
  <si>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</si>
  <si>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</si>
  <si>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</si>
  <si>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Peacock  Throw Pillow Cushion Case For Home Car</t>
  </si>
  <si>
    <t>LED Wall Digital Alarm Clock Study Home 12 / 24H Clock Calendar</t>
  </si>
  <si>
    <t>3D Waterproof EVA Plastic Shower Curtain 1.8*2Mtrs</t>
  </si>
  <si>
    <t>3PCS Single Head Knitting Crochet Sweater Needle Set</t>
  </si>
  <si>
    <t>4pcs Bathroom/Kitchen Towel Rack,Roll Paper Holder,Towel Bars,Hook</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</si>
  <si>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</si>
  <si>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</si>
  <si>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</si>
  <si>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</si>
  <si>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</si>
  <si>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</si>
  <si>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12 Litre Insulated Lunch Box Grey</t>
  </si>
  <si>
    <t>DIY File Folder, Office Drawer File Holder, Pen Holder, Desktop Storage Rack</t>
  </si>
  <si>
    <t>Classic Black Cat Cotton Hemp Pillow Case For Home Car</t>
  </si>
  <si>
    <t>Balloon Insert, Birthday Party Balloon Set, PU Leather</t>
  </si>
  <si>
    <t>Shower Cap Wide Elastic Band Cover Reusable Bashroom Cap</t>
  </si>
  <si>
    <t>Christmas Elk Fence Yard Lawn Decorations Cute For Holidays</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</si>
  <si>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</si>
  <si>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</si>
  <si>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</si>
  <si>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</si>
  <si>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</si>
  <si>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</si>
  <si>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Cute Christmas Fence Garden Decorations For Holiday Home</t>
  </si>
  <si>
    <t>Simple Metal Dog Art Sculpture Decoration For Home Office</t>
  </si>
  <si>
    <t>Christmas Fence Garden Decorations Outdoor For Holiday Home</t>
  </si>
  <si>
    <t>Angle Measuring Tool Full Metal Multi Angle Measuring Tool</t>
  </si>
  <si>
    <t>5 Pieces/set Of Stainless Steel Induction Cooker Pots</t>
  </si>
  <si>
    <t>Mythco 120COB Solar Wall Ligt With Motion Sensor And Remote Control 3 Modes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</si>
  <si>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</si>
  <si>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</si>
  <si>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</si>
  <si>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</si>
  <si>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</si>
  <si>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Agapeon Toothbrush Holder And Toothpaste Dispenser</t>
  </si>
  <si>
    <t>Large Lazy Inflatable Sofa Chairs PVC Lounger Seat Bag</t>
  </si>
  <si>
    <t>Watercolour Gold Foil Textured Print Pillow Cover</t>
  </si>
  <si>
    <t>Wrought Iron Bathroom Shelf Wall Mounted Free Punch Toilet Rack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</si>
  <si>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</si>
  <si>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</si>
  <si>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</si>
  <si>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</si>
  <si>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</si>
  <si>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</si>
  <si>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</si>
  <si>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</si>
  <si>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</si>
  <si>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</si>
  <si>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</si>
  <si>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</si>
  <si>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</si>
  <si>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</si>
  <si>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</si>
  <si>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</si>
  <si>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</si>
  <si>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</si>
  <si>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</si>
  <si>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</si>
  <si>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9pcs Gas Mask, For Painting, Dust, Formaldehyde Grinding, Polishing</t>
  </si>
  <si>
    <t>1PC Refrigerator Food Seal Pocket Fridge Bags</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</si>
  <si>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</si>
  <si>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</si>
  <si>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</si>
  <si>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</si>
  <si>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Black Simple Water Cup Wine Coaster Anti Slip Absorbent</t>
  </si>
  <si>
    <t>Ratings</t>
  </si>
  <si>
    <t>Metal Decorative Hooks Key Hangers Entryway Wall Hooks Towel Hooks  Home</t>
  </si>
  <si>
    <t>Portable Mini Cordless Car Vacuum Cleaner  Blue</t>
  </si>
  <si>
    <t>Weighing Scale Digital Bathroom Body Fat Scale USBBlack</t>
  </si>
  <si>
    <t>Portable Home Small Air Humidifier 3Speed Fan  Green</t>
  </si>
  <si>
    <t>AntiSkid Absorbent Insulation Coaster  For Home Office</t>
  </si>
  <si>
    <t>LASA Aluminum Folding Truck Hand Cart  68kg Max</t>
  </si>
  <si>
    <t>LED Romantic Spaceship Starry Sky Projector,Children's Bedroom Night LightBlue</t>
  </si>
  <si>
    <t>Exfoliate And Exfoliate Face Towel  Black</t>
  </si>
  <si>
    <t>LED Eye Protection  Desk Lamp , Study, Reading, USB Fan  Double Pen Holder</t>
  </si>
  <si>
    <t>53Pcs/Set Yarn Knitting Crochet Hooks With Bag  Fortune Cat</t>
  </si>
  <si>
    <t>53 Pieces/Set Yarn Knitting Crochet Hooks With Bag  Pansies</t>
  </si>
  <si>
    <t>Punchfree Great Load Bearing Bathroom Storage Rack Wall ShelfWhite</t>
  </si>
  <si>
    <t>1/2/3 Seater Elastic Sofa Cover,Living Room/Home Decor Chair CoverGrey</t>
  </si>
  <si>
    <t>LASA Stainless Steel Double Wall Mount Soap Dispenser  500ml</t>
  </si>
  <si>
    <t>4M Float Switch Water Level Controller Water Tank</t>
  </si>
  <si>
    <t>Modern Sofa Throw Pillow Cover45x45cmBlue&amp;Red</t>
  </si>
  <si>
    <t>60W Hot Melt Glue Sprayer  Efficient And Stable Glue Dispensing</t>
  </si>
  <si>
    <t>Multipurpose Rice Drainage Basket And Fruit And Vegetable Drainage Sieve</t>
  </si>
  <si>
    <t>12V 19500rpm Handheld Electric Angle Grinder Tool  UK  Yellow/Black</t>
  </si>
  <si>
    <t>5PCS Stainless Steel Cooking Pot Set With Steamed Slices</t>
  </si>
  <si>
    <t>32PCS Portable Cordless Drill Set With Cyclic Battery Drive 26 Variable Speed</t>
  </si>
  <si>
    <t>7piece Set Of Storage Bags, Travel Storage Bags, Shoe Bags</t>
  </si>
  <si>
    <t>Electric LED UV Mosquito Killer Lamp, Outdoor/Indoor Fly Killer Trap Light USB</t>
  </si>
  <si>
    <t>Memory Foam Neck Pillow Cover, With Pillow Core  50*30cm</t>
  </si>
  <si>
    <t>Bedroom Simple Floor Hanging Clothes Rack Single Pole Hat Rack  White</t>
  </si>
  <si>
    <t>Outdoor Portable Water Bottle With Medicine Box  600ML  Black</t>
  </si>
  <si>
    <t>WallMounted Toothbrush Toothpaste Holder With Multiple Slots</t>
  </si>
  <si>
    <t>2PCS Ice Silk Square Cushion Cover Pillowcases  65x65cm</t>
  </si>
  <si>
    <t>Konka Healty Electric Kettle, 24hour Heat Preservation,1.5L,800W, White</t>
  </si>
  <si>
    <t>24 Grid Wallmounted Sundries Organiser Fabric Closet Bag Storage Rack</t>
  </si>
  <si>
    <t>LED Solar Street Lightfake Camera</t>
  </si>
  <si>
    <t>Wallmounted Sticker Punchfree Plug Fixer</t>
  </si>
  <si>
    <t>MultiFunctional Storage Rack Multilayer Booelf</t>
  </si>
  <si>
    <t>Absolute discount</t>
  </si>
  <si>
    <t>Rating category</t>
  </si>
  <si>
    <t>Percentage discount category</t>
  </si>
  <si>
    <t>Average current price</t>
  </si>
  <si>
    <t>Average old price</t>
  </si>
  <si>
    <t>Average Discount</t>
  </si>
  <si>
    <t>Average rating</t>
  </si>
  <si>
    <t xml:space="preserve">Most expensive product  </t>
  </si>
  <si>
    <t>Least expensive product</t>
  </si>
  <si>
    <t>Row Labels</t>
  </si>
  <si>
    <t>Average</t>
  </si>
  <si>
    <t>Excellent</t>
  </si>
  <si>
    <t>Poor</t>
  </si>
  <si>
    <t>Grand Total</t>
  </si>
  <si>
    <t>Average of Ratings</t>
  </si>
  <si>
    <t>Average of Discount</t>
  </si>
  <si>
    <t>Count of Review</t>
  </si>
  <si>
    <t>0.01-0.11</t>
  </si>
  <si>
    <t>0.11-0.21</t>
  </si>
  <si>
    <t>0.21-0.31</t>
  </si>
  <si>
    <t>0.31-0.41</t>
  </si>
  <si>
    <t>0.41-0.51</t>
  </si>
  <si>
    <t>0.51-0.61</t>
  </si>
  <si>
    <t>2-3</t>
  </si>
  <si>
    <t>3-4</t>
  </si>
  <si>
    <t>4-5</t>
  </si>
  <si>
    <t>T</t>
  </si>
  <si>
    <t>Average of Review</t>
  </si>
  <si>
    <t>Count of Product</t>
  </si>
  <si>
    <t xml:space="preserve"> High Discount</t>
  </si>
  <si>
    <t>Low Discount</t>
  </si>
  <si>
    <t>Medium Discount</t>
  </si>
  <si>
    <r>
      <t>5PCS Stainless Steel Cooking Pot Set</t>
    </r>
    <r>
      <rPr>
        <sz val="11"/>
        <color theme="1"/>
        <rFont val="Calibri"/>
        <family val="2"/>
        <scheme val="minor"/>
      </rPr>
      <t xml:space="preserve"> → 55% discount, rating </t>
    </r>
    <r>
      <rPr>
        <b/>
        <sz val="11"/>
        <color theme="1"/>
        <rFont val="Calibri"/>
        <family val="2"/>
        <scheme val="minor"/>
      </rPr>
      <t>2.1 (Poor)</t>
    </r>
  </si>
  <si>
    <r>
      <t>120W Cordless Vacuum Cleaner</t>
    </r>
    <r>
      <rPr>
        <sz val="11"/>
        <color theme="1"/>
        <rFont val="Calibri"/>
        <family val="2"/>
        <scheme val="minor"/>
      </rPr>
      <t xml:space="preserve"> → 49% discount, rating </t>
    </r>
    <r>
      <rPr>
        <b/>
        <sz val="11"/>
        <color theme="1"/>
        <rFont val="Calibri"/>
        <family val="2"/>
        <scheme val="minor"/>
      </rPr>
      <t>2.8 (Poor)</t>
    </r>
  </si>
  <si>
    <r>
      <t>Electric LED UV Mosquito Killer Lamp</t>
    </r>
    <r>
      <rPr>
        <sz val="11"/>
        <color theme="1"/>
        <rFont val="Calibri"/>
        <family val="2"/>
        <scheme val="minor"/>
      </rPr>
      <t xml:space="preserve"> → 47% discount, rating </t>
    </r>
    <r>
      <rPr>
        <b/>
        <sz val="11"/>
        <color theme="1"/>
        <rFont val="Calibri"/>
        <family val="2"/>
        <scheme val="minor"/>
      </rPr>
      <t>2.1 (Poor)</t>
    </r>
  </si>
  <si>
    <r>
      <t>Agapeon Toothbrush Holder</t>
    </r>
    <r>
      <rPr>
        <sz val="11"/>
        <color theme="1"/>
        <rFont val="Calibri"/>
        <family val="2"/>
        <scheme val="minor"/>
      </rPr>
      <t xml:space="preserve"> → 45% discount, rating </t>
    </r>
    <r>
      <rPr>
        <b/>
        <sz val="11"/>
        <color theme="1"/>
        <rFont val="Calibri"/>
        <family val="2"/>
        <scheme val="minor"/>
      </rPr>
      <t>2.6 (Poor)</t>
    </r>
  </si>
  <si>
    <r>
      <t>Watercolour Gold Foil Pillow Cover</t>
    </r>
    <r>
      <rPr>
        <sz val="11"/>
        <color theme="1"/>
        <rFont val="Calibri"/>
        <family val="2"/>
        <scheme val="minor"/>
      </rPr>
      <t xml:space="preserve"> → 43% discount, rating </t>
    </r>
    <r>
      <rPr>
        <b/>
        <sz val="11"/>
        <color theme="1"/>
        <rFont val="Calibri"/>
        <family val="2"/>
        <scheme val="minor"/>
      </rPr>
      <t>2.3 (Poor)</t>
    </r>
  </si>
  <si>
    <t>3. The following products have high discounts but low ratings</t>
  </si>
  <si>
    <t>The reason could be</t>
  </si>
  <si>
    <t>Quality - the highly discounted products could be of poor quality  that why the ratings are low.</t>
  </si>
  <si>
    <t>The sellers may want to move the stocks as the products could be overstocked  but the rating is bad.</t>
  </si>
  <si>
    <t>2. No direct correlation: High-rated products are not always expensive, and low-rated products are not always cheap.</t>
  </si>
  <si>
    <t>1.High discounts does not lead to more sales as medium discounted items have more sales compared to highly discounted products. Therefore discount does not determine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</si>
</sst>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2" fontId="0" fillId="0" borderId="0" xfId="0" applyNumberFormat="1"/>
    <xf numFmtId="1" fontId="0" fillId="0" borderId="0" xfId="0" applyNumberFormat="1"/>
    <xf numFmtId="1" fontId="0" fillId="33" borderId="0" xfId="0" applyNumberFormat="1" applyFill="1"/>
    <xf numFmtId="0" fontId="0" fillId="33" borderId="0" xfId="0" applyFill="1"/>
    <xf numFmtId="0" fontId="0" fillId="34" borderId="0" xfId="0" applyFill="1"/>
    <xf numFmtId="0" fontId="16" fillId="35" borderId="10" xfId="0" applyFont="1" applyFill="1"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0" fontId="0" fillId="36" borderId="0" xfId="0" applyFill="1"/>
    <xf numFmtId="9" fontId="0" fillId="0" borderId="0" xfId="0" pivotButton="1" applyNumberFormat="1"/>
    <xf numFmtId="0" fontId="16" fillId="0" borderId="0" xfId="0" applyFont="1" applyAlignment="1">
      <alignment horizontal="left" vertical="center" indent="1"/>
    </xf>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1.xlsx]Rating by reviews!PivotTable9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 by reviews'!$B$3</c:f>
              <c:strCache>
                <c:ptCount val="1"/>
                <c:pt idx="0">
                  <c:v>Total</c:v>
                </c:pt>
              </c:strCache>
            </c:strRef>
          </c:tx>
          <c:dPt>
            <c:idx val="0"/>
            <c:bubble3D val="0"/>
            <c:spPr>
              <a:solidFill>
                <a:schemeClr val="accent2">
                  <a:shade val="6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cat>
            <c:strRef>
              <c:f>'Rating by reviews'!$A$4:$A$7</c:f>
              <c:strCache>
                <c:ptCount val="3"/>
                <c:pt idx="0">
                  <c:v>2-3</c:v>
                </c:pt>
                <c:pt idx="1">
                  <c:v>3-4</c:v>
                </c:pt>
                <c:pt idx="2">
                  <c:v>4-5</c:v>
                </c:pt>
              </c:strCache>
            </c:strRef>
          </c:cat>
          <c:val>
            <c:numRef>
              <c:f>'Rating by reviews'!$B$4:$B$7</c:f>
              <c:numCache>
                <c:formatCode>General</c:formatCode>
                <c:ptCount val="3"/>
                <c:pt idx="0">
                  <c:v>12</c:v>
                </c:pt>
                <c:pt idx="1">
                  <c:v>9</c:v>
                </c:pt>
                <c:pt idx="2">
                  <c:v>36</c:v>
                </c:pt>
              </c:numCache>
            </c:numRef>
          </c:val>
          <c:extLst>
            <c:ext xmlns:c16="http://schemas.microsoft.com/office/drawing/2014/chart" uri="{C3380CC4-5D6E-409C-BE32-E72D297353CC}">
              <c16:uniqueId val="{00000000-DEDC-4248-8FDE-34D096B786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discount!PivotTable18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discount'!$B$3</c:f>
              <c:strCache>
                <c:ptCount val="1"/>
                <c:pt idx="0">
                  <c:v>Total</c:v>
                </c:pt>
              </c:strCache>
            </c:strRef>
          </c:tx>
          <c:spPr>
            <a:solidFill>
              <a:schemeClr val="accent2"/>
            </a:solidFill>
            <a:ln>
              <a:noFill/>
            </a:ln>
            <a:effectLst/>
          </c:spPr>
          <c:invertIfNegative val="0"/>
          <c:cat>
            <c:strRef>
              <c:f>'Top 10 products by discount'!$A$4:$A$14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Black</c:v>
                </c:pt>
                <c:pt idx="9">
                  <c:v>Intelligent  LED Body Sensor Wireless Lighting Night Light USB</c:v>
                </c:pt>
              </c:strCache>
            </c:strRef>
          </c:cat>
          <c:val>
            <c:numRef>
              <c:f>'Top 10 products by discount'!$B$4:$B$14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C67E-4CBB-A2F4-1D580D92A6A0}"/>
            </c:ext>
          </c:extLst>
        </c:ser>
        <c:dLbls>
          <c:showLegendKey val="0"/>
          <c:showVal val="0"/>
          <c:showCatName val="0"/>
          <c:showSerName val="0"/>
          <c:showPercent val="0"/>
          <c:showBubbleSize val="0"/>
        </c:dLbls>
        <c:gapWidth val="219"/>
        <c:overlap val="-27"/>
        <c:axId val="1517971408"/>
        <c:axId val="1517965648"/>
      </c:barChart>
      <c:catAx>
        <c:axId val="1517971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65648"/>
        <c:crosses val="autoZero"/>
        <c:auto val="1"/>
        <c:lblAlgn val="ctr"/>
        <c:lblOffset val="100"/>
        <c:noMultiLvlLbl val="0"/>
      </c:catAx>
      <c:valAx>
        <c:axId val="15179656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7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ratings!PivotTable20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ratings'!$B$3</c:f>
              <c:strCache>
                <c:ptCount val="1"/>
                <c:pt idx="0">
                  <c:v>Total</c:v>
                </c:pt>
              </c:strCache>
            </c:strRef>
          </c:tx>
          <c:spPr>
            <a:solidFill>
              <a:schemeClr val="accent2"/>
            </a:solidFill>
            <a:ln>
              <a:noFill/>
            </a:ln>
            <a:effectLst/>
          </c:spPr>
          <c:invertIfNegative val="0"/>
          <c:cat>
            <c:strRef>
              <c:f>'Top 10 products by ratings'!$A$4:$A$14</c:f>
              <c:strCache>
                <c:ptCount val="10"/>
                <c:pt idx="0">
                  <c:v>Classic Black Cat Cotton Hemp Pillow Case For Home Car</c:v>
                </c:pt>
                <c:pt idx="1">
                  <c:v>LASA Aluminum Folding Truck Hand Cart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White</c:v>
                </c:pt>
                <c:pt idx="6">
                  <c:v>DIY File Folder, Office Drawer File Holder, Pen Holder, Desktop Storage Rack</c:v>
                </c:pt>
                <c:pt idx="7">
                  <c:v>LASA FOLDING TABLE SERVING STAND</c:v>
                </c:pt>
                <c:pt idx="8">
                  <c:v>Portable Home Small Air Humidifier 3Speed Fan  Green</c:v>
                </c:pt>
                <c:pt idx="9">
                  <c:v>40cm Gold DIY Acrylic Wall Sticker Clock</c:v>
                </c:pt>
              </c:strCache>
            </c:strRef>
          </c:cat>
          <c:val>
            <c:numRef>
              <c:f>'Top 10 products by ratings'!$B$4:$B$14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7345-4684-B9C5-7A72624AC5D0}"/>
            </c:ext>
          </c:extLst>
        </c:ser>
        <c:dLbls>
          <c:showLegendKey val="0"/>
          <c:showVal val="0"/>
          <c:showCatName val="0"/>
          <c:showSerName val="0"/>
          <c:showPercent val="0"/>
          <c:showBubbleSize val="0"/>
        </c:dLbls>
        <c:gapWidth val="182"/>
        <c:axId val="1517979568"/>
        <c:axId val="1517984368"/>
      </c:barChart>
      <c:catAx>
        <c:axId val="1517979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84368"/>
        <c:crosses val="autoZero"/>
        <c:auto val="1"/>
        <c:lblAlgn val="ctr"/>
        <c:lblOffset val="100"/>
        <c:noMultiLvlLbl val="0"/>
      </c:catAx>
      <c:valAx>
        <c:axId val="15179843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7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reviews!PivotTable21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reviews'!$B$3</c:f>
              <c:strCache>
                <c:ptCount val="1"/>
                <c:pt idx="0">
                  <c:v>Total</c:v>
                </c:pt>
              </c:strCache>
            </c:strRef>
          </c:tx>
          <c:spPr>
            <a:solidFill>
              <a:schemeClr val="accent2"/>
            </a:solidFill>
            <a:ln>
              <a:noFill/>
            </a:ln>
            <a:effectLst/>
          </c:spPr>
          <c:invertIfNegative val="0"/>
          <c:cat>
            <c:strRef>
              <c:f>'Top 10 products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'Top 10 products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F8FF-4F6A-BE48-73015C6A5B0E}"/>
            </c:ext>
          </c:extLst>
        </c:ser>
        <c:dLbls>
          <c:showLegendKey val="0"/>
          <c:showVal val="0"/>
          <c:showCatName val="0"/>
          <c:showSerName val="0"/>
          <c:showPercent val="0"/>
          <c:showBubbleSize val="0"/>
        </c:dLbls>
        <c:gapWidth val="219"/>
        <c:overlap val="-27"/>
        <c:axId val="749576623"/>
        <c:axId val="749588623"/>
      </c:barChart>
      <c:catAx>
        <c:axId val="7495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9588623"/>
        <c:crosses val="autoZero"/>
        <c:auto val="1"/>
        <c:lblAlgn val="ctr"/>
        <c:lblOffset val="100"/>
        <c:noMultiLvlLbl val="0"/>
      </c:catAx>
      <c:valAx>
        <c:axId val="74958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95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1.xlsx]Rating by product!PivotTable23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CATEGORY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 by product'!$B$3</c:f>
              <c:strCache>
                <c:ptCount val="1"/>
                <c:pt idx="0">
                  <c:v>Total</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cat>
            <c:strRef>
              <c:f>'Rating by product'!$A$4:$A$8</c:f>
              <c:strCache>
                <c:ptCount val="4"/>
                <c:pt idx="1">
                  <c:v>Average</c:v>
                </c:pt>
                <c:pt idx="2">
                  <c:v>Excellent</c:v>
                </c:pt>
                <c:pt idx="3">
                  <c:v>Poor</c:v>
                </c:pt>
              </c:strCache>
            </c:strRef>
          </c:cat>
          <c:val>
            <c:numRef>
              <c:f>'Rating by product'!$B$4:$B$8</c:f>
              <c:numCache>
                <c:formatCode>General</c:formatCode>
                <c:ptCount val="4"/>
                <c:pt idx="0">
                  <c:v>55</c:v>
                </c:pt>
                <c:pt idx="1">
                  <c:v>22</c:v>
                </c:pt>
                <c:pt idx="2">
                  <c:v>23</c:v>
                </c:pt>
                <c:pt idx="3">
                  <c:v>12</c:v>
                </c:pt>
              </c:numCache>
            </c:numRef>
          </c:val>
          <c:extLst>
            <c:ext xmlns:c16="http://schemas.microsoft.com/office/drawing/2014/chart" uri="{C3380CC4-5D6E-409C-BE32-E72D297353CC}">
              <c16:uniqueId val="{00000000-7910-4E5A-9FF2-416B0500CF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1.xlsx]Discount category by products!PivotTable24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'Discount category by products'!$B$3</c:f>
              <c:strCache>
                <c:ptCount val="1"/>
                <c:pt idx="0">
                  <c:v>Total</c:v>
                </c:pt>
              </c:strCache>
            </c:strRef>
          </c:tx>
          <c:dPt>
            <c:idx val="0"/>
            <c:bubble3D val="0"/>
            <c:spPr>
              <a:solidFill>
                <a:schemeClr val="accent2">
                  <a:shade val="6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cat>
            <c:strRef>
              <c:f>'Discount category by products'!$A$4:$A$7</c:f>
              <c:strCache>
                <c:ptCount val="3"/>
                <c:pt idx="0">
                  <c:v> High Discount</c:v>
                </c:pt>
                <c:pt idx="1">
                  <c:v>Low Discount</c:v>
                </c:pt>
                <c:pt idx="2">
                  <c:v>Medium Discount</c:v>
                </c:pt>
              </c:strCache>
            </c:strRef>
          </c:cat>
          <c:val>
            <c:numRef>
              <c:f>'Discount category by products'!$B$4:$B$7</c:f>
              <c:numCache>
                <c:formatCode>General</c:formatCode>
                <c:ptCount val="3"/>
                <c:pt idx="0">
                  <c:v>62</c:v>
                </c:pt>
                <c:pt idx="1">
                  <c:v>18</c:v>
                </c:pt>
                <c:pt idx="2">
                  <c:v>32</c:v>
                </c:pt>
              </c:numCache>
            </c:numRef>
          </c:val>
          <c:extLst>
            <c:ext xmlns:c16="http://schemas.microsoft.com/office/drawing/2014/chart" uri="{C3380CC4-5D6E-409C-BE32-E72D297353CC}">
              <c16:uniqueId val="{00000000-EC01-4964-BFFC-B18BF70A18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discount!PivotTable18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discount'!$B$3</c:f>
              <c:strCache>
                <c:ptCount val="1"/>
                <c:pt idx="0">
                  <c:v>Total</c:v>
                </c:pt>
              </c:strCache>
            </c:strRef>
          </c:tx>
          <c:spPr>
            <a:solidFill>
              <a:schemeClr val="accent2"/>
            </a:solidFill>
            <a:ln>
              <a:noFill/>
            </a:ln>
            <a:effectLst/>
          </c:spPr>
          <c:invertIfNegative val="0"/>
          <c:cat>
            <c:strRef>
              <c:f>'Top 10 products by discount'!$A$4:$A$14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Black</c:v>
                </c:pt>
                <c:pt idx="9">
                  <c:v>Intelligent  LED Body Sensor Wireless Lighting Night Light USB</c:v>
                </c:pt>
              </c:strCache>
            </c:strRef>
          </c:cat>
          <c:val>
            <c:numRef>
              <c:f>'Top 10 products by discount'!$B$4:$B$14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A29D-4C86-8BD4-1A6EA1EB82C5}"/>
            </c:ext>
          </c:extLst>
        </c:ser>
        <c:dLbls>
          <c:showLegendKey val="0"/>
          <c:showVal val="0"/>
          <c:showCatName val="0"/>
          <c:showSerName val="0"/>
          <c:showPercent val="0"/>
          <c:showBubbleSize val="0"/>
        </c:dLbls>
        <c:gapWidth val="219"/>
        <c:overlap val="-27"/>
        <c:axId val="1517971408"/>
        <c:axId val="1517965648"/>
      </c:barChart>
      <c:catAx>
        <c:axId val="1517971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65648"/>
        <c:crosses val="autoZero"/>
        <c:auto val="1"/>
        <c:lblAlgn val="ctr"/>
        <c:lblOffset val="100"/>
        <c:noMultiLvlLbl val="0"/>
      </c:catAx>
      <c:valAx>
        <c:axId val="151796564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7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ratings!PivotTable20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ratings'!$B$3</c:f>
              <c:strCache>
                <c:ptCount val="1"/>
                <c:pt idx="0">
                  <c:v>Total</c:v>
                </c:pt>
              </c:strCache>
            </c:strRef>
          </c:tx>
          <c:spPr>
            <a:solidFill>
              <a:schemeClr val="accent2"/>
            </a:solidFill>
            <a:ln>
              <a:noFill/>
            </a:ln>
            <a:effectLst/>
          </c:spPr>
          <c:invertIfNegative val="0"/>
          <c:cat>
            <c:strRef>
              <c:f>'Top 10 products by ratings'!$A$4:$A$14</c:f>
              <c:strCache>
                <c:ptCount val="10"/>
                <c:pt idx="0">
                  <c:v>Classic Black Cat Cotton Hemp Pillow Case For Home Car</c:v>
                </c:pt>
                <c:pt idx="1">
                  <c:v>LASA Aluminum Folding Truck Hand Cart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White</c:v>
                </c:pt>
                <c:pt idx="6">
                  <c:v>DIY File Folder, Office Drawer File Holder, Pen Holder, Desktop Storage Rack</c:v>
                </c:pt>
                <c:pt idx="7">
                  <c:v>LASA FOLDING TABLE SERVING STAND</c:v>
                </c:pt>
                <c:pt idx="8">
                  <c:v>Portable Home Small Air Humidifier 3Speed Fan  Green</c:v>
                </c:pt>
                <c:pt idx="9">
                  <c:v>40cm Gold DIY Acrylic Wall Sticker Clock</c:v>
                </c:pt>
              </c:strCache>
            </c:strRef>
          </c:cat>
          <c:val>
            <c:numRef>
              <c:f>'Top 10 products by ratings'!$B$4:$B$14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9142-49BA-A562-62EE67E0FD4D}"/>
            </c:ext>
          </c:extLst>
        </c:ser>
        <c:dLbls>
          <c:showLegendKey val="0"/>
          <c:showVal val="0"/>
          <c:showCatName val="0"/>
          <c:showSerName val="0"/>
          <c:showPercent val="0"/>
          <c:showBubbleSize val="0"/>
        </c:dLbls>
        <c:gapWidth val="182"/>
        <c:axId val="1517979568"/>
        <c:axId val="1517984368"/>
      </c:barChart>
      <c:catAx>
        <c:axId val="1517979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84368"/>
        <c:crosses val="autoZero"/>
        <c:auto val="1"/>
        <c:lblAlgn val="ctr"/>
        <c:lblOffset val="100"/>
        <c:noMultiLvlLbl val="0"/>
      </c:catAx>
      <c:valAx>
        <c:axId val="15179843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1797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1.xlsx]Top 10 products by reviews!PivotTable21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reviews'!$B$3</c:f>
              <c:strCache>
                <c:ptCount val="1"/>
                <c:pt idx="0">
                  <c:v>Total</c:v>
                </c:pt>
              </c:strCache>
            </c:strRef>
          </c:tx>
          <c:spPr>
            <a:solidFill>
              <a:schemeClr val="accent2"/>
            </a:solidFill>
            <a:ln>
              <a:noFill/>
            </a:ln>
            <a:effectLst/>
          </c:spPr>
          <c:invertIfNegative val="0"/>
          <c:cat>
            <c:strRef>
              <c:f>'Top 10 products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'Top 10 products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21B9-4DC3-AED1-AC8BD47167D2}"/>
            </c:ext>
          </c:extLst>
        </c:ser>
        <c:dLbls>
          <c:showLegendKey val="0"/>
          <c:showVal val="0"/>
          <c:showCatName val="0"/>
          <c:showSerName val="0"/>
          <c:showPercent val="0"/>
          <c:showBubbleSize val="0"/>
        </c:dLbls>
        <c:gapWidth val="219"/>
        <c:overlap val="-27"/>
        <c:axId val="749576623"/>
        <c:axId val="749588623"/>
      </c:barChart>
      <c:catAx>
        <c:axId val="7495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9588623"/>
        <c:crosses val="autoZero"/>
        <c:auto val="1"/>
        <c:lblAlgn val="ctr"/>
        <c:lblOffset val="100"/>
        <c:noMultiLvlLbl val="0"/>
      </c:catAx>
      <c:valAx>
        <c:axId val="74958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95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1.xlsx]Rating by product!PivotTable23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CATEGORY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8000"/>
            </a:schemeClr>
          </a:solidFill>
          <a:ln w="19050">
            <a:solidFill>
              <a:schemeClr val="lt1"/>
            </a:solidFill>
          </a:ln>
          <a:effectLst/>
        </c:spPr>
      </c:pivotFmt>
      <c:pivotFmt>
        <c:idx val="3"/>
        <c:spPr>
          <a:solidFill>
            <a:schemeClr val="accent2">
              <a:shade val="86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
        <c:idx val="5"/>
        <c:spPr>
          <a:solidFill>
            <a:schemeClr val="accent2">
              <a:tint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pieChart>
        <c:varyColors val="1"/>
        <c:ser>
          <c:idx val="0"/>
          <c:order val="0"/>
          <c:tx>
            <c:strRef>
              <c:f>'Rating by product'!$B$3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0837-477E-A83F-3A3ED278B02F}"/>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0837-477E-A83F-3A3ED278B02F}"/>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0837-477E-A83F-3A3ED278B02F}"/>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0837-477E-A83F-3A3ED278B02F}"/>
              </c:ext>
            </c:extLst>
          </c:dPt>
          <c:cat>
            <c:strRef>
              <c:f>'Rating by product'!$A$4:$A$8</c:f>
              <c:strCache>
                <c:ptCount val="4"/>
                <c:pt idx="1">
                  <c:v>Average</c:v>
                </c:pt>
                <c:pt idx="2">
                  <c:v>Excellent</c:v>
                </c:pt>
                <c:pt idx="3">
                  <c:v>Poor</c:v>
                </c:pt>
              </c:strCache>
            </c:strRef>
          </c:cat>
          <c:val>
            <c:numRef>
              <c:f>'Rating by product'!$B$4:$B$8</c:f>
              <c:numCache>
                <c:formatCode>General</c:formatCode>
                <c:ptCount val="4"/>
                <c:pt idx="0">
                  <c:v>55</c:v>
                </c:pt>
                <c:pt idx="1">
                  <c:v>22</c:v>
                </c:pt>
                <c:pt idx="2">
                  <c:v>23</c:v>
                </c:pt>
                <c:pt idx="3">
                  <c:v>12</c:v>
                </c:pt>
              </c:numCache>
            </c:numRef>
          </c:val>
          <c:extLst>
            <c:ext xmlns:c16="http://schemas.microsoft.com/office/drawing/2014/chart" uri="{C3380CC4-5D6E-409C-BE32-E72D297353CC}">
              <c16:uniqueId val="{00000008-0837-477E-A83F-3A3ED278B0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JUMIA ASSIGNMENT WEEK 1.xlsx]Discount category by products!PivotTable24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doughnutChart>
        <c:varyColors val="1"/>
        <c:ser>
          <c:idx val="0"/>
          <c:order val="0"/>
          <c:tx>
            <c:strRef>
              <c:f>'Discount category by products'!$B$3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EC85-4A7D-800E-18C512167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85-4A7D-800E-18C512167F33}"/>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EC85-4A7D-800E-18C512167F33}"/>
              </c:ext>
            </c:extLst>
          </c:dPt>
          <c:cat>
            <c:strRef>
              <c:f>'Discount category by products'!$A$4:$A$7</c:f>
              <c:strCache>
                <c:ptCount val="3"/>
                <c:pt idx="0">
                  <c:v> High Discount</c:v>
                </c:pt>
                <c:pt idx="1">
                  <c:v>Low Discount</c:v>
                </c:pt>
                <c:pt idx="2">
                  <c:v>Medium Discount</c:v>
                </c:pt>
              </c:strCache>
            </c:strRef>
          </c:cat>
          <c:val>
            <c:numRef>
              <c:f>'Discount category by products'!$B$4:$B$7</c:f>
              <c:numCache>
                <c:formatCode>General</c:formatCode>
                <c:ptCount val="3"/>
                <c:pt idx="0">
                  <c:v>62</c:v>
                </c:pt>
                <c:pt idx="1">
                  <c:v>18</c:v>
                </c:pt>
                <c:pt idx="2">
                  <c:v>32</c:v>
                </c:pt>
              </c:numCache>
            </c:numRef>
          </c:val>
          <c:extLst>
            <c:ext xmlns:c16="http://schemas.microsoft.com/office/drawing/2014/chart" uri="{C3380CC4-5D6E-409C-BE32-E72D297353CC}">
              <c16:uniqueId val="{00000006-EC85-4A7D-800E-18C512167F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76200</xdr:colOff>
      <xdr:row>4</xdr:row>
      <xdr:rowOff>88900</xdr:rowOff>
    </xdr:from>
    <xdr:to>
      <xdr:col>9</xdr:col>
      <xdr:colOff>76200</xdr:colOff>
      <xdr:row>18</xdr:row>
      <xdr:rowOff>34925</xdr:rowOff>
    </xdr:to>
    <mc:AlternateContent xmlns:mc="http://schemas.openxmlformats.org/markup-compatibility/2006">
      <mc:Choice xmlns:a14="http://schemas.microsoft.com/office/drawing/2010/main" Requires="a14">
        <xdr:graphicFrame macro="">
          <xdr:nvGraphicFramePr>
            <xdr:cNvPr id="4" name="Rating category">
              <a:extLst>
                <a:ext uri="{FF2B5EF4-FFF2-40B4-BE49-F238E27FC236}">
                  <a16:creationId xmlns:a16="http://schemas.microsoft.com/office/drawing/2014/main" id="{B648F57A-78A4-FA78-9FA0-0C8A5A528BD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4521200" y="825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577850</xdr:colOff>
      <xdr:row>13</xdr:row>
      <xdr:rowOff>133350</xdr:rowOff>
    </xdr:from>
    <xdr:to>
      <xdr:col>8</xdr:col>
      <xdr:colOff>577850</xdr:colOff>
      <xdr:row>27</xdr:row>
      <xdr:rowOff>79375</xdr:rowOff>
    </xdr:to>
    <mc:AlternateContent xmlns:mc="http://schemas.openxmlformats.org/markup-compatibility/2006">
      <mc:Choice xmlns:a14="http://schemas.microsoft.com/office/drawing/2010/main" Requires="a14">
        <xdr:graphicFrame macro="">
          <xdr:nvGraphicFramePr>
            <xdr:cNvPr id="5" name="Percentage discount category">
              <a:extLst>
                <a:ext uri="{FF2B5EF4-FFF2-40B4-BE49-F238E27FC236}">
                  <a16:creationId xmlns:a16="http://schemas.microsoft.com/office/drawing/2014/main" id="{FD3DA654-350C-5811-2173-86BFE357931D}"/>
                </a:ext>
              </a:extLst>
            </xdr:cNvPr>
            <xdr:cNvGraphicFramePr/>
          </xdr:nvGraphicFramePr>
          <xdr:xfrm>
            <a:off x="0" y="0"/>
            <a:ext cx="0" cy="0"/>
          </xdr:xfrm>
          <a:graphic>
            <a:graphicData uri="http://schemas.microsoft.com/office/drawing/2010/slicer">
              <sle:slicer xmlns:sle="http://schemas.microsoft.com/office/drawing/2010/slicer" name="Percentage discount category"/>
            </a:graphicData>
          </a:graphic>
        </xdr:graphicFrame>
      </mc:Choice>
      <mc:Fallback>
        <xdr:sp macro="" textlink="">
          <xdr:nvSpPr>
            <xdr:cNvPr id="0" name=""/>
            <xdr:cNvSpPr>
              <a:spLocks noTextEdit="1"/>
            </xdr:cNvSpPr>
          </xdr:nvSpPr>
          <xdr:spPr>
            <a:xfrm>
              <a:off x="4413250" y="25273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1</xdr:row>
      <xdr:rowOff>174625</xdr:rowOff>
    </xdr:from>
    <xdr:to>
      <xdr:col>9</xdr:col>
      <xdr:colOff>342900</xdr:colOff>
      <xdr:row>16</xdr:row>
      <xdr:rowOff>155575</xdr:rowOff>
    </xdr:to>
    <xdr:graphicFrame macro="">
      <xdr:nvGraphicFramePr>
        <xdr:cNvPr id="3" name="Chart 2">
          <a:extLst>
            <a:ext uri="{FF2B5EF4-FFF2-40B4-BE49-F238E27FC236}">
              <a16:creationId xmlns:a16="http://schemas.microsoft.com/office/drawing/2014/main" id="{6FFCFD56-BE2F-5BA6-347A-A03827CA0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615950</xdr:colOff>
      <xdr:row>1</xdr:row>
      <xdr:rowOff>3175</xdr:rowOff>
    </xdr:from>
    <xdr:to>
      <xdr:col>5</xdr:col>
      <xdr:colOff>444500</xdr:colOff>
      <xdr:row>13</xdr:row>
      <xdr:rowOff>158750</xdr:rowOff>
    </xdr:to>
    <xdr:graphicFrame macro="">
      <xdr:nvGraphicFramePr>
        <xdr:cNvPr id="3" name="Chart 2">
          <a:extLst>
            <a:ext uri="{FF2B5EF4-FFF2-40B4-BE49-F238E27FC236}">
              <a16:creationId xmlns:a16="http://schemas.microsoft.com/office/drawing/2014/main" id="{1C826E18-8743-97AA-39F6-D60CFB3C9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2</xdr:row>
      <xdr:rowOff>47625</xdr:rowOff>
    </xdr:from>
    <xdr:to>
      <xdr:col>7</xdr:col>
      <xdr:colOff>292100</xdr:colOff>
      <xdr:row>14</xdr:row>
      <xdr:rowOff>0</xdr:rowOff>
    </xdr:to>
    <xdr:graphicFrame macro="">
      <xdr:nvGraphicFramePr>
        <xdr:cNvPr id="2" name="Chart 1">
          <a:extLst>
            <a:ext uri="{FF2B5EF4-FFF2-40B4-BE49-F238E27FC236}">
              <a16:creationId xmlns:a16="http://schemas.microsoft.com/office/drawing/2014/main" id="{4E31A54C-B158-84DF-DBE1-0F029FE64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622300</xdr:colOff>
      <xdr:row>14</xdr:row>
      <xdr:rowOff>161925</xdr:rowOff>
    </xdr:from>
    <xdr:to>
      <xdr:col>1</xdr:col>
      <xdr:colOff>990600</xdr:colOff>
      <xdr:row>29</xdr:row>
      <xdr:rowOff>142875</xdr:rowOff>
    </xdr:to>
    <xdr:graphicFrame macro="">
      <xdr:nvGraphicFramePr>
        <xdr:cNvPr id="2" name="Chart 1">
          <a:extLst>
            <a:ext uri="{FF2B5EF4-FFF2-40B4-BE49-F238E27FC236}">
              <a16:creationId xmlns:a16="http://schemas.microsoft.com/office/drawing/2014/main" id="{83201155-C634-36E3-F7A3-412B48B63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406400</xdr:colOff>
      <xdr:row>1</xdr:row>
      <xdr:rowOff>3175</xdr:rowOff>
    </xdr:from>
    <xdr:to>
      <xdr:col>9</xdr:col>
      <xdr:colOff>387350</xdr:colOff>
      <xdr:row>12</xdr:row>
      <xdr:rowOff>44450</xdr:rowOff>
    </xdr:to>
    <xdr:graphicFrame macro="">
      <xdr:nvGraphicFramePr>
        <xdr:cNvPr id="2" name="Chart 1">
          <a:extLst>
            <a:ext uri="{FF2B5EF4-FFF2-40B4-BE49-F238E27FC236}">
              <a16:creationId xmlns:a16="http://schemas.microsoft.com/office/drawing/2014/main" id="{86F8F5E8-0078-7CCE-F26C-02B1FF399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355600</xdr:colOff>
      <xdr:row>6</xdr:row>
      <xdr:rowOff>82550</xdr:rowOff>
    </xdr:from>
    <xdr:to>
      <xdr:col>7</xdr:col>
      <xdr:colOff>304800</xdr:colOff>
      <xdr:row>17</xdr:row>
      <xdr:rowOff>57150</xdr:rowOff>
    </xdr:to>
    <xdr:graphicFrame macro="">
      <xdr:nvGraphicFramePr>
        <xdr:cNvPr id="2" name="Chart 1">
          <a:extLst>
            <a:ext uri="{FF2B5EF4-FFF2-40B4-BE49-F238E27FC236}">
              <a16:creationId xmlns:a16="http://schemas.microsoft.com/office/drawing/2014/main" id="{C6901303-0D7E-E34D-17FA-63DA323C1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82549</xdr:colOff>
      <xdr:row>0</xdr:row>
      <xdr:rowOff>31750</xdr:rowOff>
    </xdr:from>
    <xdr:to>
      <xdr:col>15</xdr:col>
      <xdr:colOff>312897</xdr:colOff>
      <xdr:row>2</xdr:row>
      <xdr:rowOff>88900</xdr:rowOff>
    </xdr:to>
    <xdr:sp macro="" textlink="">
      <xdr:nvSpPr>
        <xdr:cNvPr id="2" name="Rectangle: Rounded Corners 1">
          <a:extLst>
            <a:ext uri="{FF2B5EF4-FFF2-40B4-BE49-F238E27FC236}">
              <a16:creationId xmlns:a16="http://schemas.microsoft.com/office/drawing/2014/main" id="{DB6780CB-52EF-486C-61B3-645B4E49F794}"/>
            </a:ext>
          </a:extLst>
        </xdr:cNvPr>
        <xdr:cNvSpPr/>
      </xdr:nvSpPr>
      <xdr:spPr>
        <a:xfrm>
          <a:off x="1297332" y="31750"/>
          <a:ext cx="8126435" cy="425266"/>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800">
              <a:solidFill>
                <a:schemeClr val="tx1"/>
              </a:solidFill>
            </a:rPr>
            <a:t>JUMIA SALES DASHBOARD</a:t>
          </a:r>
          <a:endParaRPr lang="en-KE" sz="2800">
            <a:solidFill>
              <a:schemeClr val="tx1"/>
            </a:solidFill>
          </a:endParaRPr>
        </a:p>
      </xdr:txBody>
    </xdr:sp>
    <xdr:clientData/>
  </xdr:twoCellAnchor>
  <xdr:twoCellAnchor>
    <xdr:from>
      <xdr:col>2</xdr:col>
      <xdr:colOff>95249</xdr:colOff>
      <xdr:row>2</xdr:row>
      <xdr:rowOff>147246</xdr:rowOff>
    </xdr:from>
    <xdr:to>
      <xdr:col>4</xdr:col>
      <xdr:colOff>303696</xdr:colOff>
      <xdr:row>5</xdr:row>
      <xdr:rowOff>110435</xdr:rowOff>
    </xdr:to>
    <xdr:sp macro="" textlink="">
      <xdr:nvSpPr>
        <xdr:cNvPr id="3" name="Rectangle: Rounded Corners 2">
          <a:extLst>
            <a:ext uri="{FF2B5EF4-FFF2-40B4-BE49-F238E27FC236}">
              <a16:creationId xmlns:a16="http://schemas.microsoft.com/office/drawing/2014/main" id="{8A04E6D4-6B7C-5C9C-A31B-AEB956F902D2}"/>
            </a:ext>
          </a:extLst>
        </xdr:cNvPr>
        <xdr:cNvSpPr/>
      </xdr:nvSpPr>
      <xdr:spPr>
        <a:xfrm>
          <a:off x="1310032" y="515362"/>
          <a:ext cx="1423229" cy="515363"/>
        </a:xfrm>
        <a:prstGeom prst="roundRect">
          <a:avLst/>
        </a:prstGeom>
        <a:ln>
          <a:solidFill>
            <a:schemeClr val="tx1"/>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100" b="1">
              <a:solidFill>
                <a:schemeClr val="tx1"/>
              </a:solidFill>
            </a:rPr>
            <a:t>TOTAL PRODUCTS</a:t>
          </a:r>
        </a:p>
        <a:p>
          <a:pPr algn="ctr"/>
          <a:r>
            <a:rPr lang="en-US" sz="1100" b="1">
              <a:solidFill>
                <a:schemeClr val="tx1"/>
              </a:solidFill>
            </a:rPr>
            <a:t>112</a:t>
          </a:r>
        </a:p>
        <a:p>
          <a:pPr algn="l"/>
          <a:endParaRPr lang="en-KE" sz="1100"/>
        </a:p>
      </xdr:txBody>
    </xdr:sp>
    <xdr:clientData/>
  </xdr:twoCellAnchor>
  <xdr:twoCellAnchor>
    <xdr:from>
      <xdr:col>4</xdr:col>
      <xdr:colOff>411094</xdr:colOff>
      <xdr:row>2</xdr:row>
      <xdr:rowOff>119637</xdr:rowOff>
    </xdr:from>
    <xdr:to>
      <xdr:col>7</xdr:col>
      <xdr:colOff>506160</xdr:colOff>
      <xdr:row>5</xdr:row>
      <xdr:rowOff>68929</xdr:rowOff>
    </xdr:to>
    <xdr:sp macro="" textlink="">
      <xdr:nvSpPr>
        <xdr:cNvPr id="4" name="Rectangle: Rounded Corners 3">
          <a:extLst>
            <a:ext uri="{FF2B5EF4-FFF2-40B4-BE49-F238E27FC236}">
              <a16:creationId xmlns:a16="http://schemas.microsoft.com/office/drawing/2014/main" id="{604226F0-7B9E-CF42-9F26-DC105CD12C6E}"/>
            </a:ext>
          </a:extLst>
        </xdr:cNvPr>
        <xdr:cNvSpPr/>
      </xdr:nvSpPr>
      <xdr:spPr>
        <a:xfrm>
          <a:off x="2840659" y="487753"/>
          <a:ext cx="1917240" cy="50146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AVERAGE RATING</a:t>
          </a:r>
        </a:p>
        <a:p>
          <a:pPr algn="ctr"/>
          <a:r>
            <a:rPr lang="en-KE" sz="1100" b="1" i="0" u="none" strike="noStrike">
              <a:solidFill>
                <a:schemeClr val="tx1"/>
              </a:solidFill>
              <a:effectLst/>
              <a:latin typeface="+mn-lt"/>
              <a:ea typeface="+mn-ea"/>
              <a:cs typeface="+mn-cs"/>
            </a:rPr>
            <a:t>3.89</a:t>
          </a:r>
          <a:r>
            <a:rPr lang="en-KE" b="1">
              <a:solidFill>
                <a:schemeClr val="tx1"/>
              </a:solidFill>
              <a:effectLst/>
            </a:rPr>
            <a:t> </a:t>
          </a:r>
          <a:endParaRPr lang="en-KE" sz="1100" b="1">
            <a:solidFill>
              <a:schemeClr val="tx1"/>
            </a:solidFill>
          </a:endParaRPr>
        </a:p>
      </xdr:txBody>
    </xdr:sp>
    <xdr:clientData/>
  </xdr:twoCellAnchor>
  <xdr:twoCellAnchor>
    <xdr:from>
      <xdr:col>7</xdr:col>
      <xdr:colOff>605644</xdr:colOff>
      <xdr:row>2</xdr:row>
      <xdr:rowOff>125436</xdr:rowOff>
    </xdr:from>
    <xdr:to>
      <xdr:col>12</xdr:col>
      <xdr:colOff>303697</xdr:colOff>
      <xdr:row>5</xdr:row>
      <xdr:rowOff>55586</xdr:rowOff>
    </xdr:to>
    <xdr:sp macro="" textlink="">
      <xdr:nvSpPr>
        <xdr:cNvPr id="5" name="Rectangle: Rounded Corners 4">
          <a:extLst>
            <a:ext uri="{FF2B5EF4-FFF2-40B4-BE49-F238E27FC236}">
              <a16:creationId xmlns:a16="http://schemas.microsoft.com/office/drawing/2014/main" id="{AEB9272B-569D-A768-0D03-0FCFD2423E05}"/>
            </a:ext>
          </a:extLst>
        </xdr:cNvPr>
        <xdr:cNvSpPr/>
      </xdr:nvSpPr>
      <xdr:spPr>
        <a:xfrm>
          <a:off x="4857383" y="493552"/>
          <a:ext cx="2735010" cy="482324"/>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000" b="1">
              <a:solidFill>
                <a:schemeClr val="tx1"/>
              </a:solidFill>
            </a:rPr>
            <a:t>AVERAGE DISCOUNT PERCENTAGE  </a:t>
          </a:r>
        </a:p>
        <a:p>
          <a:pPr algn="ctr"/>
          <a:r>
            <a:rPr lang="en-KE" sz="1100" b="1" i="0" u="none" strike="noStrike">
              <a:solidFill>
                <a:schemeClr val="tx1"/>
              </a:solidFill>
              <a:effectLst/>
              <a:latin typeface="+mn-lt"/>
              <a:ea typeface="+mn-ea"/>
              <a:cs typeface="+mn-cs"/>
            </a:rPr>
            <a:t>37%</a:t>
          </a:r>
          <a:r>
            <a:rPr lang="en-KE" sz="1000" b="1">
              <a:solidFill>
                <a:schemeClr val="tx1"/>
              </a:solidFill>
              <a:effectLst/>
            </a:rPr>
            <a:t> </a:t>
          </a:r>
          <a:endParaRPr lang="en-KE" sz="1000" b="1">
            <a:solidFill>
              <a:schemeClr val="tx1"/>
            </a:solidFill>
          </a:endParaRPr>
        </a:p>
      </xdr:txBody>
    </xdr:sp>
    <xdr:clientData/>
  </xdr:twoCellAnchor>
  <xdr:twoCellAnchor>
    <xdr:from>
      <xdr:col>12</xdr:col>
      <xdr:colOff>487753</xdr:colOff>
      <xdr:row>2</xdr:row>
      <xdr:rowOff>122582</xdr:rowOff>
    </xdr:from>
    <xdr:to>
      <xdr:col>15</xdr:col>
      <xdr:colOff>340507</xdr:colOff>
      <xdr:row>5</xdr:row>
      <xdr:rowOff>52732</xdr:rowOff>
    </xdr:to>
    <xdr:sp macro="" textlink="">
      <xdr:nvSpPr>
        <xdr:cNvPr id="6" name="Rectangle: Rounded Corners 5">
          <a:extLst>
            <a:ext uri="{FF2B5EF4-FFF2-40B4-BE49-F238E27FC236}">
              <a16:creationId xmlns:a16="http://schemas.microsoft.com/office/drawing/2014/main" id="{2F5AECB9-1D33-650B-2201-62B836A5B2B9}"/>
            </a:ext>
          </a:extLst>
        </xdr:cNvPr>
        <xdr:cNvSpPr/>
      </xdr:nvSpPr>
      <xdr:spPr>
        <a:xfrm>
          <a:off x="7776449" y="490698"/>
          <a:ext cx="1674928" cy="482324"/>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solidFill>
                <a:schemeClr val="tx1"/>
              </a:solidFill>
            </a:rPr>
            <a:t>TOTAL REVIEWS</a:t>
          </a:r>
        </a:p>
        <a:p>
          <a:pPr algn="l"/>
          <a:r>
            <a:rPr lang="en-US" sz="1100" b="1" i="0" u="none" strike="noStrike">
              <a:solidFill>
                <a:schemeClr val="tx1"/>
              </a:solidFill>
              <a:effectLst/>
              <a:latin typeface="+mn-lt"/>
              <a:ea typeface="+mn-ea"/>
              <a:cs typeface="+mn-cs"/>
            </a:rPr>
            <a:t>           </a:t>
          </a:r>
          <a:r>
            <a:rPr lang="en-KE" sz="1100" b="1" i="0" u="none" strike="noStrike">
              <a:solidFill>
                <a:schemeClr val="tx1"/>
              </a:solidFill>
              <a:effectLst/>
              <a:latin typeface="+mn-lt"/>
              <a:ea typeface="+mn-ea"/>
              <a:cs typeface="+mn-cs"/>
            </a:rPr>
            <a:t>723</a:t>
          </a:r>
          <a:r>
            <a:rPr lang="en-KE" b="1">
              <a:solidFill>
                <a:schemeClr val="tx1"/>
              </a:solidFill>
              <a:effectLst/>
            </a:rPr>
            <a:t> </a:t>
          </a:r>
          <a:endParaRPr lang="en-KE" sz="1100" b="1">
            <a:solidFill>
              <a:schemeClr val="tx1"/>
            </a:solidFill>
          </a:endParaRPr>
        </a:p>
      </xdr:txBody>
    </xdr:sp>
    <xdr:clientData/>
  </xdr:twoCellAnchor>
  <xdr:twoCellAnchor editAs="oneCell">
    <xdr:from>
      <xdr:col>0</xdr:col>
      <xdr:colOff>82550</xdr:colOff>
      <xdr:row>0</xdr:row>
      <xdr:rowOff>133351</xdr:rowOff>
    </xdr:from>
    <xdr:to>
      <xdr:col>2</xdr:col>
      <xdr:colOff>25400</xdr:colOff>
      <xdr:row>7</xdr:row>
      <xdr:rowOff>158751</xdr:rowOff>
    </xdr:to>
    <mc:AlternateContent xmlns:mc="http://schemas.openxmlformats.org/markup-compatibility/2006">
      <mc:Choice xmlns:a14="http://schemas.microsoft.com/office/drawing/2010/main" Requires="a14">
        <xdr:graphicFrame macro="">
          <xdr:nvGraphicFramePr>
            <xdr:cNvPr id="10" name="Rating category 1">
              <a:extLst>
                <a:ext uri="{FF2B5EF4-FFF2-40B4-BE49-F238E27FC236}">
                  <a16:creationId xmlns:a16="http://schemas.microsoft.com/office/drawing/2014/main" id="{F9C86895-0469-466E-B74E-A02CF965AD52}"/>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82550" y="133351"/>
              <a:ext cx="1157633" cy="131380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1</xdr:col>
      <xdr:colOff>575642</xdr:colOff>
      <xdr:row>27</xdr:row>
      <xdr:rowOff>73623</xdr:rowOff>
    </xdr:to>
    <mc:AlternateContent xmlns:mc="http://schemas.openxmlformats.org/markup-compatibility/2006">
      <mc:Choice xmlns:a14="http://schemas.microsoft.com/office/drawing/2010/main" Requires="a14">
        <xdr:graphicFrame macro="">
          <xdr:nvGraphicFramePr>
            <xdr:cNvPr id="11" name="Percentage discount category 1">
              <a:extLst>
                <a:ext uri="{FF2B5EF4-FFF2-40B4-BE49-F238E27FC236}">
                  <a16:creationId xmlns:a16="http://schemas.microsoft.com/office/drawing/2014/main" id="{FD5E3D30-D067-41F5-ADF2-473958E82C2B}"/>
                </a:ext>
              </a:extLst>
            </xdr:cNvPr>
            <xdr:cNvGraphicFramePr/>
          </xdr:nvGraphicFramePr>
          <xdr:xfrm>
            <a:off x="0" y="0"/>
            <a:ext cx="0" cy="0"/>
          </xdr:xfrm>
          <a:graphic>
            <a:graphicData uri="http://schemas.microsoft.com/office/drawing/2010/slicer">
              <sle:slicer xmlns:sle="http://schemas.microsoft.com/office/drawing/2010/slicer" name="Percentage discount category 1"/>
            </a:graphicData>
          </a:graphic>
        </xdr:graphicFrame>
      </mc:Choice>
      <mc:Fallback>
        <xdr:sp macro="" textlink="">
          <xdr:nvSpPr>
            <xdr:cNvPr id="0" name=""/>
            <xdr:cNvSpPr>
              <a:spLocks noTextEdit="1"/>
            </xdr:cNvSpPr>
          </xdr:nvSpPr>
          <xdr:spPr>
            <a:xfrm>
              <a:off x="0" y="2944928"/>
              <a:ext cx="1183033" cy="2098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101599</xdr:colOff>
      <xdr:row>5</xdr:row>
      <xdr:rowOff>138043</xdr:rowOff>
    </xdr:from>
    <xdr:to>
      <xdr:col>8</xdr:col>
      <xdr:colOff>386522</xdr:colOff>
      <xdr:row>16</xdr:row>
      <xdr:rowOff>55216</xdr:rowOff>
    </xdr:to>
    <xdr:graphicFrame macro="">
      <xdr:nvGraphicFramePr>
        <xdr:cNvPr id="12" name="Chart 11">
          <a:extLst>
            <a:ext uri="{FF2B5EF4-FFF2-40B4-BE49-F238E27FC236}">
              <a16:creationId xmlns:a16="http://schemas.microsoft.com/office/drawing/2014/main" id="{D7B62516-F88A-45D7-A31A-5DBD1F93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487754</xdr:colOff>
      <xdr:row>5</xdr:row>
      <xdr:rowOff>128840</xdr:rowOff>
    </xdr:from>
    <xdr:to>
      <xdr:col>15</xdr:col>
      <xdr:colOff>303695</xdr:colOff>
      <xdr:row>16</xdr:row>
      <xdr:rowOff>55217</xdr:rowOff>
    </xdr:to>
    <xdr:graphicFrame macro="">
      <xdr:nvGraphicFramePr>
        <xdr:cNvPr id="13" name="Chart 12">
          <a:extLst>
            <a:ext uri="{FF2B5EF4-FFF2-40B4-BE49-F238E27FC236}">
              <a16:creationId xmlns:a16="http://schemas.microsoft.com/office/drawing/2014/main" id="{CF8EFF27-ABB3-4322-8100-33BB3951C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93136</xdr:colOff>
      <xdr:row>16</xdr:row>
      <xdr:rowOff>124950</xdr:rowOff>
    </xdr:from>
    <xdr:to>
      <xdr:col>6</xdr:col>
      <xdr:colOff>579782</xdr:colOff>
      <xdr:row>27</xdr:row>
      <xdr:rowOff>90571</xdr:rowOff>
    </xdr:to>
    <xdr:graphicFrame macro="">
      <xdr:nvGraphicFramePr>
        <xdr:cNvPr id="14" name="Chart 13">
          <a:extLst>
            <a:ext uri="{FF2B5EF4-FFF2-40B4-BE49-F238E27FC236}">
              <a16:creationId xmlns:a16="http://schemas.microsoft.com/office/drawing/2014/main" id="{40F8C63D-98E1-4912-BB0E-385928A06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73623</xdr:colOff>
      <xdr:row>16</xdr:row>
      <xdr:rowOff>156449</xdr:rowOff>
    </xdr:from>
    <xdr:to>
      <xdr:col>11</xdr:col>
      <xdr:colOff>269536</xdr:colOff>
      <xdr:row>28</xdr:row>
      <xdr:rowOff>36811</xdr:rowOff>
    </xdr:to>
    <xdr:graphicFrame macro="">
      <xdr:nvGraphicFramePr>
        <xdr:cNvPr id="15" name="Chart 14">
          <a:extLst>
            <a:ext uri="{FF2B5EF4-FFF2-40B4-BE49-F238E27FC236}">
              <a16:creationId xmlns:a16="http://schemas.microsoft.com/office/drawing/2014/main" id="{61012F4C-0302-47BD-AD89-AB68C7C73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368115</xdr:colOff>
      <xdr:row>16</xdr:row>
      <xdr:rowOff>119637</xdr:rowOff>
    </xdr:from>
    <xdr:to>
      <xdr:col>15</xdr:col>
      <xdr:colOff>329912</xdr:colOff>
      <xdr:row>27</xdr:row>
      <xdr:rowOff>174856</xdr:rowOff>
    </xdr:to>
    <xdr:graphicFrame macro="">
      <xdr:nvGraphicFramePr>
        <xdr:cNvPr id="16" name="Chart 15">
          <a:extLst>
            <a:ext uri="{FF2B5EF4-FFF2-40B4-BE49-F238E27FC236}">
              <a16:creationId xmlns:a16="http://schemas.microsoft.com/office/drawing/2014/main" id="{3464997E-9257-40EB-AD17-BCC7CFF6A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4.966258680557" createdVersion="8" refreshedVersion="8" minRefreshableVersion="3" recordCount="112" xr:uid="{8388F39C-DB88-44BB-8010-43B4247BDCF5}">
  <cacheSource type="worksheet">
    <worksheetSource ref="A1:I113" sheet="Excel_jumia_dataset (1)"/>
  </cacheSource>
  <cacheFields count="9">
    <cacheField name="Product" numFmtId="0">
      <sharedItems count="109">
        <s v="115  Piece Set Of Multifunctional Precision Screwdrivers"/>
        <s v="Metal Decorative Hooks Key Hangers Entryway Wall Hooks Towel Hooks  Home"/>
        <s v="Portable Mini Cordless Car Vacuum Cleaner  Blue"/>
        <s v="Weighing Scale Digital Bathroom Body Fat Scale USBBlack"/>
        <s v="Portable Home Small Air Humidifier 3Speed Fan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Black"/>
        <s v="12 Litre Insulated Lunch Box Grey"/>
        <s v="LED Eye Protection  Desk Lamp , Study, Reading, USB Fan  Double Pen Holder"/>
        <s v="53Pcs/Set Yarn Knitting Crochet Hooks With Bag  Fortune Cat"/>
        <s v="53 Pieces/Set Yarn Knitting Crochet Hooks With Bag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UK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50*30cm"/>
        <s v="Bedroom Simple Floor Hanging Clothes Rack Single Pole Hat Rack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600ML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Absolute discount" numFmtId="1">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4">
        <rangePr startNum="0.01" endNum="0.64" groupInterval="0.1"/>
        <groupItems count="9">
          <s v="&lt;0.01"/>
          <s v="0.01-0.11"/>
          <s v="0.11-0.21"/>
          <s v="0.21-0.31"/>
          <s v="0.31-0.41"/>
          <s v="0.41-0.51"/>
          <s v="0.51-0.61"/>
          <s v="0.61-0.71"/>
          <s v="&gt;0.71"/>
        </groupItems>
      </fieldGroup>
    </cacheField>
    <cacheField name="Review" numFmtId="1">
      <sharedItems containsString="0" containsBlank="1" containsNumber="1" containsInteger="1" minValue="1" maxValue="69"/>
    </cacheField>
    <cacheField name="Ratings"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fieldGroup base="6">
        <rangePr autoStart="0" startNum="1" endNum="5"/>
        <groupItems count="6">
          <s v="&lt;1 or (blank)"/>
          <s v="1-2"/>
          <s v="2-3"/>
          <s v="3-4"/>
          <s v="4-5"/>
          <s v="&gt;5"/>
        </groupItems>
      </fieldGroup>
    </cacheField>
    <cacheField name="Rating category" numFmtId="0">
      <sharedItems count="4">
        <s v="Excellent"/>
        <s v="Average"/>
        <s v=""/>
        <s v="Poor"/>
      </sharedItems>
    </cacheField>
    <cacheField name="Percentage discount category" numFmtId="0">
      <sharedItems count="3">
        <s v="Medium Discount"/>
        <s v=" High Discount"/>
        <s v="Low Discount"/>
      </sharedItems>
    </cacheField>
  </cacheFields>
  <extLst>
    <ext xmlns:x14="http://schemas.microsoft.com/office/spreadsheetml/2009/9/main" uri="{725AE2AE-9491-48be-B2B4-4EB974FC3084}">
      <x14:pivotCacheDefinition pivotCacheId="16625147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4.975582175925" backgroundQuery="1" createdVersion="8" refreshedVersion="8" minRefreshableVersion="3" recordCount="0" supportSubquery="1" supportAdvancedDrill="1" xr:uid="{B36CD3B3-0240-4774-B9CA-8720EAA26D32}">
  <cacheSource type="external" connectionId="1"/>
  <cacheFields count="2">
    <cacheField name="[Range].[Product].[Product]" caption="Product" numFmtId="0" level="1">
      <sharedItems count="5">
        <s v="AntiSkid Absorbent Insulation Coaster  For Home Office"/>
        <s v="Bedroom Simple Floor Hanging Clothes Rack Single Pole Hat Rack  White"/>
        <s v="Classic Black Cat Cotton Hemp Pillow Case For Home Car"/>
        <s v="DIY File Folder, Office Drawer File Holder, Pen Holder, Desktop Storage Rack"/>
        <s v="Konka Healty Electric Kettle, 24hour Heat Preservation,1.5L,800W, White"/>
      </sharedItems>
    </cacheField>
    <cacheField name="[Measures].[Average of Ratings]" caption="Average of Ratings" numFmtId="0" hierarchy="12"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4.976950115743" backgroundQuery="1" createdVersion="8" refreshedVersion="8" minRefreshableVersion="3" recordCount="0" supportSubquery="1" supportAdvancedDrill="1" xr:uid="{BC11F9D8-D24D-4378-B4F0-056A384FEC0F}">
  <cacheSource type="external" connectionId="1"/>
  <cacheFields count="2">
    <cacheField name="[Range].[Product].[Product]" caption="Product" numFmtId="0" level="1">
      <sharedItems count="5">
        <s v="5PCS Stainless Steel Cooking Pot Set With Steamed Slices"/>
        <s v="7piece Set Of Storage Bags, Travel Storage Bags, Shoe Bags"/>
        <s v="Artificial Potted Flowers Room Decorative Flowers (2 Pieces)"/>
        <s v="Electric LED UV Mosquito Killer Lamp, Outdoor/Indoor Fly Killer Trap Light USB"/>
        <s v="Wallmounted Sticker Punchfree Plug Fixer"/>
      </sharedItems>
    </cacheField>
    <cacheField name="[Measures].[Average of Ratings]" caption="Average of Ratings" numFmtId="0" hierarchy="12"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4.984272222224" backgroundQuery="1" createdVersion="8" refreshedVersion="8" minRefreshableVersion="3" recordCount="0" supportSubquery="1" supportAdvancedDrill="1" xr:uid="{9B2145A8-EF5A-442A-AD6C-DF0C71FD2DDF}">
  <cacheSource type="external" connectionId="1"/>
  <cacheFields count="2">
    <cacheField name="[Range].[Product].[Product]" caption="Product" numFmtId="0" level="1">
      <sharedItems count="10">
        <s v="100 Pcs Crochet Hook Tool Set Knitting Hook Set With Box"/>
        <s v="120W Cordless Vacuum Cleaners Handheld Electric Vacuum Cleaner"/>
        <s v="137 Pieces Cake Decorating Tool Set Baking Supplies"/>
        <s v="3D Waterproof EVA Plastic Shower Curtain 1.8*2Mtrs"/>
        <s v="52 Pieces Cake Decorating Tool Set Gift Kit Baking Supplies"/>
        <s v="53 Pieces/Set Yarn Knitting Crochet Hooks With Bag  Pansies"/>
        <s v="53Pcs/Set Yarn Knitting Crochet Hooks With Bag  Fortune Cat"/>
        <s v="Electronic Digital Display Vernier Caliper"/>
        <s v="Portable Mini Cordless Car Vacuum Cleaner  Blue"/>
        <s v="Punchfree Great Load Bearing Bathroom Storage Rack Wall ShelfWhite"/>
      </sharedItems>
    </cacheField>
    <cacheField name="[Measures].[Average of Review]" caption="Average of Review" numFmtId="0" hierarchy="17"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5.515172800922" backgroundQuery="1" createdVersion="8" refreshedVersion="8" minRefreshableVersion="3" recordCount="0" supportSubquery="1" supportAdvancedDrill="1" xr:uid="{B3F881FC-C5CD-4861-805D-4DC65B8B8EE0}">
  <cacheSource type="external" connectionId="1"/>
  <cacheFields count="2">
    <cacheField name="[Range].[Product].[Product]" caption="Product" numFmtId="0" level="1">
      <sharedItems count="10">
        <s v="3PCS Single Head Knitting Crochet Sweater Needle Set"/>
        <s v="5PCS Stainless Steel Cooking Pot Set With Steamed Slices"/>
        <s v="6 In 1 Bottle Can Opener Multifunctional Easy Opener"/>
        <s v="Classic Black Cat Cotton Hemp Pillow Case For Home Car"/>
        <s v="Creative Owl Shape Keychain Black"/>
        <s v="Exfoliate And Exfoliate Face Towel  Black"/>
        <s v="Intelligent  LED Body Sensor Wireless Lighting Night Light USB"/>
        <s v="LASA 3 Tier Bamboo Shoe Bench Storage Shelf"/>
        <s v="LASA FOLDING TABLE SERVING STAND"/>
        <s v="Mythco 120COB Solar Wall Ligt With Motion Sensor And Remote Control 3 Modes"/>
      </sharedItems>
    </cacheField>
    <cacheField name="[Measures].[Average of Discount]" caption="Average of Discount" numFmtId="0" hierarchy="14"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5.537864699072" backgroundQuery="1" createdVersion="8" refreshedVersion="8" minRefreshableVersion="3" recordCount="0" supportSubquery="1" supportAdvancedDrill="1" xr:uid="{A95CA3E7-AF4D-44FA-8F9C-1399938A41F5}">
  <cacheSource type="external" connectionId="1"/>
  <cacheFields count="2">
    <cacheField name="[Range].[Product].[Product]" caption="Product" numFmtId="0" level="1">
      <sharedItems count="10">
        <s v="40cm Gold DIY Acrylic Wall Sticker Clock"/>
        <s v="AntiSkid Absorbent Insulation Coaster  For Home Office"/>
        <s v="Bedroom Simple Floor Hanging Clothes Rack Single Pole Hat Rack  White"/>
        <s v="Classic Black Cat Cotton Hemp Pillow Case For Home Car"/>
        <s v="DIY File Folder, Office Drawer File Holder, Pen Holder, Desktop Storage Rack"/>
        <s v="Konka Healty Electric Kettle, 24hour Heat Preservation,1.5L,800W, White"/>
        <s v="LASA Aluminum Folding Truck Hand Cart  68kg Max"/>
        <s v="LASA FOLDING TABLE SERVING STAND"/>
        <s v="Peacock  Throw Pillow Cushion Case For Home Car"/>
        <s v="Portable Home Small Air Humidifier 3Speed Fan  Green"/>
      </sharedItems>
    </cacheField>
    <cacheField name="[Measures].[Average of Ratings]" caption="Average of Ratings" numFmtId="0" hierarchy="12"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5.543095138892" backgroundQuery="1" createdVersion="8" refreshedVersion="8" minRefreshableVersion="3" recordCount="0" supportSubquery="1" supportAdvancedDrill="1" xr:uid="{94EC1B56-20EA-4A71-8589-9BC99892A106}">
  <cacheSource type="external" connectionId="1"/>
  <cacheFields count="2">
    <cacheField name="[Range].[Product].[Product]" caption="Product" numFmtId="0" level="1">
      <sharedItems count="10">
        <s v="100 Pcs Crochet Hook Tool Set Knitting Hook Set With Box"/>
        <s v="120W Cordless Vacuum Cleaners Handheld Electric Vacuum Cleaner"/>
        <s v="137 Pieces Cake Decorating Tool Set Baking Supplies"/>
        <s v="3D Waterproof EVA Plastic Shower Curtain 1.8*2Mtrs"/>
        <s v="52 Pieces Cake Decorating Tool Set Gift Kit Baking Supplies"/>
        <s v="53 Pieces/Set Yarn Knitting Crochet Hooks With Bag  Pansies"/>
        <s v="53Pcs/Set Yarn Knitting Crochet Hooks With Bag  Fortune Cat"/>
        <s v="Electronic Digital Display Vernier Caliper"/>
        <s v="Portable Mini Cordless Car Vacuum Cleaner  Blue"/>
        <s v="Punchfree Great Load Bearing Bathroom Storage Rack Wall ShelfWhite"/>
      </sharedItems>
    </cacheField>
    <cacheField name="[Measures].[Average of Review]" caption="Average of Review" numFmtId="0" hierarchy="17" level="32767"/>
  </cacheFields>
  <cacheHierarchies count="23">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5.577301620368" backgroundQuery="1" createdVersion="8" refreshedVersion="8" minRefreshableVersion="3" recordCount="0" supportSubquery="1" supportAdvancedDrill="1" xr:uid="{FF249F00-66D4-49E5-A5D0-B0486B46ECD4}">
  <cacheSource type="external" connectionId="1"/>
  <cacheFields count="2">
    <cacheField name="[Measures].[Count of Product]" caption="Count of Product" numFmtId="0" hierarchy="18" level="32767"/>
    <cacheField name="[Range].[Rating category].[Rating category]" caption="Rating category" numFmtId="0" hierarchy="7" level="1">
      <sharedItems count="4">
        <s v=""/>
        <s v="Average"/>
        <s v="Excellent"/>
        <s v="Poor"/>
      </sharedItems>
    </cacheField>
  </cacheFields>
  <cacheHierarchies count="23">
    <cacheHierarchy uniqueName="[Range].[Product]" caption="Product" attribute="1" defaultMemberUniqueName="[Range].[Product].[All]" allUniqueName="[Range].[Product].[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2" memberValueDatatype="130" unbalanced="0">
      <fieldsUsage count="2">
        <fieldUsage x="-1"/>
        <fieldUsage x="1"/>
      </fieldsUsage>
    </cacheHierarchy>
    <cacheHierarchy uniqueName="[Range].[Percentage discount category]" caption="Percentage discount category" attribute="1" defaultMemberUniqueName="[Range].[Percentage discount category].[All]" allUniqueName="[Range].[Percentage discount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5.59848310185" backgroundQuery="1" createdVersion="8" refreshedVersion="8" minRefreshableVersion="3" recordCount="0" supportSubquery="1" supportAdvancedDrill="1" xr:uid="{4F8A0031-0D37-42CB-A113-F46B2EE529DE}">
  <cacheSource type="external" connectionId="1"/>
  <cacheFields count="2">
    <cacheField name="[Measures].[Count of Product]" caption="Count of Product" numFmtId="0" hierarchy="18" level="32767"/>
    <cacheField name="[Range].[Percentage discount category].[Percentage discount category]" caption="Percentage discount category" numFmtId="0" hierarchy="8" level="1">
      <sharedItems count="3">
        <s v=" High Discount"/>
        <s v="Low Discount"/>
        <s v="Medium Discount"/>
      </sharedItems>
    </cacheField>
  </cacheFields>
  <cacheHierarchies count="23">
    <cacheHierarchy uniqueName="[Range].[Product]" caption="Product" attribute="1" defaultMemberUniqueName="[Range].[Product].[All]" allUniqueName="[Range].[Product].[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20" unbalanced="0"/>
    <cacheHierarchy uniqueName="[Range].[Absolute discount]" caption="Absolute discount" attribute="1" defaultMemberUniqueName="[Range].[Absolute discount].[All]" allUniqueName="[Range].[Absolute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Review]" caption="Review" attribute="1" defaultMemberUniqueName="[Range].[Review].[All]" allUniqueName="[Range].[Review].[All]" dimensionUniqueName="[Range]" displayFolder="" count="0" memberValueDatatype="20" unbalanced="0"/>
    <cacheHierarchy uniqueName="[Range].[Ratings]" caption="Ratings" attribute="1" defaultMemberUniqueName="[Range].[Ratings].[All]" allUniqueName="[Range].[Ratings].[All]" dimensionUniqueName="[Range]" displayFolder="" count="0" memberValueDatatype="5"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Range].[Percentage discount category]" caption="Percentage discount category" attribute="1" defaultMemberUniqueName="[Range].[Percentage discount category].[All]" allUniqueName="[Range].[Percentage discount category].[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6"/>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4"/>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4"/>
        </ext>
      </extLst>
    </cacheHierarchy>
    <cacheHierarchy uniqueName="[Measures].[Sum of Review]" caption="Sum of Review" measure="1" displayFolder="" measureGroup="Range" count="0" hidden="1">
      <extLst>
        <ext xmlns:x15="http://schemas.microsoft.com/office/spreadsheetml/2010/11/main" uri="{B97F6D7D-B522-45F9-BDA1-12C45D357490}">
          <x15:cacheHierarchy aggregatedColumn="5"/>
        </ext>
      </extLst>
    </cacheHierarchy>
    <cacheHierarchy uniqueName="[Measures].[Count of Review]" caption="Count of Review" measure="1" displayFolder="" measureGroup="Range" count="0" hidden="1">
      <extLst>
        <ext xmlns:x15="http://schemas.microsoft.com/office/spreadsheetml/2010/11/main" uri="{B97F6D7D-B522-45F9-BDA1-12C45D357490}">
          <x15:cacheHierarchy aggregatedColumn="5"/>
        </ext>
      </extLst>
    </cacheHierarchy>
    <cacheHierarchy uniqueName="[Measures].[Average of Review]" caption="Average of Review"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urrent price]" caption="Sum of Current price" measure="1" displayFolder="" measureGroup="Range" count="0" hidden="1">
      <extLst>
        <ext xmlns:x15="http://schemas.microsoft.com/office/spreadsheetml/2010/11/main" uri="{B97F6D7D-B522-45F9-BDA1-12C45D357490}">
          <x15:cacheHierarchy aggregatedColumn="1"/>
        </ext>
      </extLst>
    </cacheHierarchy>
    <cacheHierarchy uniqueName="[Measures].[Sum of Absolute discount]" caption="Sum of Absolute discount" measure="1" displayFolder="" measureGroup="Range" count="0" hidden="1">
      <extLst>
        <ext xmlns:x15="http://schemas.microsoft.com/office/spreadsheetml/2010/11/main" uri="{B97F6D7D-B522-45F9-BDA1-12C45D357490}">
          <x15:cacheHierarchy aggregatedColumn="3"/>
        </ext>
      </extLst>
    </cacheHierarchy>
    <cacheHierarchy uniqueName="[Measures].[Count of Rating category]" caption="Count of Rating category" measure="1" displayFolder="" measureGroup="Range" count="0" hidden="1">
      <extLst>
        <ext xmlns:x15="http://schemas.microsoft.com/office/spreadsheetml/2010/11/main" uri="{B97F6D7D-B522-45F9-BDA1-12C45D357490}">
          <x15:cacheHierarchy aggregatedColumn="7"/>
        </ext>
      </extLst>
    </cacheHierarchy>
    <cacheHierarchy uniqueName="[Measures].[Average of Current price]" caption="Average of Current pric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575"/>
    <x v="0"/>
    <n v="2"/>
    <x v="0"/>
    <x v="0"/>
    <x v="0"/>
  </r>
  <r>
    <x v="1"/>
    <n v="527"/>
    <n v="999"/>
    <n v="472"/>
    <x v="1"/>
    <n v="14"/>
    <x v="1"/>
    <x v="1"/>
    <x v="1"/>
  </r>
  <r>
    <x v="2"/>
    <n v="2199"/>
    <n v="2923"/>
    <n v="724"/>
    <x v="2"/>
    <n v="24"/>
    <x v="2"/>
    <x v="0"/>
    <x v="0"/>
  </r>
  <r>
    <x v="3"/>
    <n v="1580"/>
    <n v="2499"/>
    <n v="919"/>
    <x v="3"/>
    <n v="7"/>
    <x v="3"/>
    <x v="0"/>
    <x v="0"/>
  </r>
  <r>
    <x v="4"/>
    <n v="1740"/>
    <n v="2356"/>
    <n v="616"/>
    <x v="4"/>
    <n v="5"/>
    <x v="4"/>
    <x v="0"/>
    <x v="0"/>
  </r>
  <r>
    <x v="5"/>
    <n v="2999"/>
    <n v="3290"/>
    <n v="291"/>
    <x v="5"/>
    <n v="15"/>
    <x v="5"/>
    <x v="1"/>
    <x v="2"/>
  </r>
  <r>
    <x v="6"/>
    <n v="2319"/>
    <n v="3032"/>
    <n v="713"/>
    <x v="6"/>
    <n v="55"/>
    <x v="2"/>
    <x v="0"/>
    <x v="0"/>
  </r>
  <r>
    <x v="7"/>
    <n v="988"/>
    <n v="1580"/>
    <n v="592"/>
    <x v="3"/>
    <n v="2"/>
    <x v="5"/>
    <x v="1"/>
    <x v="0"/>
  </r>
  <r>
    <x v="8"/>
    <n v="1274"/>
    <n v="2800"/>
    <n v="1526"/>
    <x v="7"/>
    <n v="5"/>
    <x v="4"/>
    <x v="0"/>
    <x v="1"/>
  </r>
  <r>
    <x v="9"/>
    <n v="1600"/>
    <n v="2929"/>
    <n v="1329"/>
    <x v="8"/>
    <n v="5"/>
    <x v="6"/>
    <x v="1"/>
    <x v="1"/>
  </r>
  <r>
    <x v="10"/>
    <n v="799"/>
    <n v="999"/>
    <n v="200"/>
    <x v="9"/>
    <n v="12"/>
    <x v="1"/>
    <x v="1"/>
    <x v="0"/>
  </r>
  <r>
    <x v="11"/>
    <n v="990"/>
    <n v="1500"/>
    <n v="510"/>
    <x v="10"/>
    <n v="39"/>
    <x v="3"/>
    <x v="0"/>
    <x v="0"/>
  </r>
  <r>
    <x v="12"/>
    <n v="552"/>
    <n v="1035"/>
    <n v="483"/>
    <x v="1"/>
    <n v="12"/>
    <x v="4"/>
    <x v="0"/>
    <x v="1"/>
  </r>
  <r>
    <x v="13"/>
    <n v="501"/>
    <n v="860"/>
    <n v="359"/>
    <x v="11"/>
    <n v="6"/>
    <x v="0"/>
    <x v="0"/>
    <x v="1"/>
  </r>
  <r>
    <x v="14"/>
    <n v="1680"/>
    <n v="2499"/>
    <n v="819"/>
    <x v="12"/>
    <n v="9"/>
    <x v="7"/>
    <x v="1"/>
    <x v="0"/>
  </r>
  <r>
    <x v="15"/>
    <n v="332"/>
    <n v="684"/>
    <n v="352"/>
    <x v="13"/>
    <n v="2"/>
    <x v="8"/>
    <x v="0"/>
    <x v="1"/>
  </r>
  <r>
    <x v="16"/>
    <n v="195"/>
    <n v="360"/>
    <n v="165"/>
    <x v="14"/>
    <n v="2"/>
    <x v="8"/>
    <x v="0"/>
    <x v="1"/>
  </r>
  <r>
    <x v="17"/>
    <n v="2025"/>
    <n v="3971"/>
    <n v="1946"/>
    <x v="15"/>
    <n v="3"/>
    <x v="8"/>
    <x v="0"/>
    <x v="1"/>
  </r>
  <r>
    <x v="18"/>
    <n v="2999"/>
    <n v="3699"/>
    <n v="700"/>
    <x v="16"/>
    <n v="5"/>
    <x v="2"/>
    <x v="0"/>
    <x v="2"/>
  </r>
  <r>
    <x v="19"/>
    <n v="998"/>
    <n v="1966"/>
    <n v="968"/>
    <x v="15"/>
    <n v="44"/>
    <x v="2"/>
    <x v="0"/>
    <x v="1"/>
  </r>
  <r>
    <x v="20"/>
    <n v="38"/>
    <n v="80"/>
    <n v="42"/>
    <x v="17"/>
    <n v="13"/>
    <x v="9"/>
    <x v="1"/>
    <x v="1"/>
  </r>
  <r>
    <x v="21"/>
    <n v="1860"/>
    <n v="3220"/>
    <n v="1360"/>
    <x v="11"/>
    <m/>
    <x v="10"/>
    <x v="2"/>
    <x v="1"/>
  </r>
  <r>
    <x v="22"/>
    <n v="880"/>
    <n v="1350"/>
    <n v="470"/>
    <x v="18"/>
    <n v="6"/>
    <x v="5"/>
    <x v="1"/>
    <x v="0"/>
  </r>
  <r>
    <x v="23"/>
    <n v="1650"/>
    <n v="2150"/>
    <n v="500"/>
    <x v="19"/>
    <n v="14"/>
    <x v="11"/>
    <x v="1"/>
    <x v="0"/>
  </r>
  <r>
    <x v="24"/>
    <n v="2048"/>
    <n v="4500"/>
    <n v="2452"/>
    <x v="20"/>
    <n v="7"/>
    <x v="12"/>
    <x v="1"/>
    <x v="1"/>
  </r>
  <r>
    <x v="25"/>
    <n v="420"/>
    <n v="647"/>
    <n v="227"/>
    <x v="18"/>
    <n v="49"/>
    <x v="2"/>
    <x v="0"/>
    <x v="0"/>
  </r>
  <r>
    <x v="26"/>
    <n v="2880"/>
    <n v="3520"/>
    <n v="640"/>
    <x v="21"/>
    <n v="12"/>
    <x v="6"/>
    <x v="1"/>
    <x v="2"/>
  </r>
  <r>
    <x v="27"/>
    <n v="1350"/>
    <n v="1990"/>
    <n v="640"/>
    <x v="22"/>
    <n v="13"/>
    <x v="6"/>
    <x v="1"/>
    <x v="0"/>
  </r>
  <r>
    <x v="28"/>
    <n v="1758"/>
    <n v="2499"/>
    <n v="741"/>
    <x v="23"/>
    <n v="20"/>
    <x v="1"/>
    <x v="1"/>
    <x v="0"/>
  </r>
  <r>
    <x v="29"/>
    <n v="2200"/>
    <n v="4080"/>
    <n v="1880"/>
    <x v="14"/>
    <m/>
    <x v="10"/>
    <x v="2"/>
    <x v="1"/>
  </r>
  <r>
    <x v="30"/>
    <n v="185"/>
    <n v="382"/>
    <n v="197"/>
    <x v="24"/>
    <n v="9"/>
    <x v="12"/>
    <x v="1"/>
    <x v="1"/>
  </r>
  <r>
    <x v="31"/>
    <n v="980"/>
    <n v="1490"/>
    <n v="510"/>
    <x v="10"/>
    <n v="12"/>
    <x v="3"/>
    <x v="0"/>
    <x v="0"/>
  </r>
  <r>
    <x v="32"/>
    <n v="1820"/>
    <n v="3490"/>
    <n v="1670"/>
    <x v="25"/>
    <n v="9"/>
    <x v="12"/>
    <x v="1"/>
    <x v="1"/>
  </r>
  <r>
    <x v="33"/>
    <n v="1940"/>
    <n v="2650"/>
    <n v="710"/>
    <x v="26"/>
    <n v="20"/>
    <x v="3"/>
    <x v="0"/>
    <x v="0"/>
  </r>
  <r>
    <x v="34"/>
    <n v="1980"/>
    <n v="2699"/>
    <n v="719"/>
    <x v="26"/>
    <n v="32"/>
    <x v="0"/>
    <x v="0"/>
    <x v="0"/>
  </r>
  <r>
    <x v="35"/>
    <n v="1620"/>
    <n v="2690"/>
    <n v="1070"/>
    <x v="27"/>
    <n v="1"/>
    <x v="8"/>
    <x v="0"/>
    <x v="0"/>
  </r>
  <r>
    <x v="36"/>
    <n v="171"/>
    <n v="360"/>
    <n v="189"/>
    <x v="17"/>
    <n v="2"/>
    <x v="8"/>
    <x v="0"/>
    <x v="1"/>
  </r>
  <r>
    <x v="37"/>
    <n v="389"/>
    <n v="656"/>
    <n v="267"/>
    <x v="28"/>
    <n v="36"/>
    <x v="12"/>
    <x v="1"/>
    <x v="1"/>
  </r>
  <r>
    <x v="38"/>
    <n v="1980"/>
    <n v="3200"/>
    <n v="1220"/>
    <x v="0"/>
    <n v="2"/>
    <x v="0"/>
    <x v="0"/>
    <x v="0"/>
  </r>
  <r>
    <x v="39"/>
    <n v="2750"/>
    <n v="4471"/>
    <n v="1721"/>
    <x v="0"/>
    <m/>
    <x v="10"/>
    <x v="2"/>
    <x v="0"/>
  </r>
  <r>
    <x v="40"/>
    <n v="475"/>
    <n v="931"/>
    <n v="456"/>
    <x v="15"/>
    <m/>
    <x v="10"/>
    <x v="2"/>
    <x v="1"/>
  </r>
  <r>
    <x v="41"/>
    <n v="238"/>
    <n v="476"/>
    <n v="238"/>
    <x v="29"/>
    <m/>
    <x v="10"/>
    <x v="2"/>
    <x v="1"/>
  </r>
  <r>
    <x v="42"/>
    <n v="610"/>
    <n v="1060"/>
    <n v="450"/>
    <x v="11"/>
    <m/>
    <x v="10"/>
    <x v="2"/>
    <x v="1"/>
  </r>
  <r>
    <x v="43"/>
    <n v="2132"/>
    <n v="2169"/>
    <n v="37"/>
    <x v="30"/>
    <m/>
    <x v="10"/>
    <x v="2"/>
    <x v="2"/>
  </r>
  <r>
    <x v="44"/>
    <n v="999"/>
    <n v="2000"/>
    <n v="1001"/>
    <x v="29"/>
    <m/>
    <x v="10"/>
    <x v="2"/>
    <x v="1"/>
  </r>
  <r>
    <x v="45"/>
    <n v="1190"/>
    <n v="1785"/>
    <n v="595"/>
    <x v="12"/>
    <m/>
    <x v="10"/>
    <x v="2"/>
    <x v="0"/>
  </r>
  <r>
    <x v="46"/>
    <n v="671"/>
    <n v="1316"/>
    <n v="645"/>
    <x v="15"/>
    <m/>
    <x v="10"/>
    <x v="2"/>
    <x v="1"/>
  </r>
  <r>
    <x v="47"/>
    <n v="1200"/>
    <n v="1950"/>
    <n v="750"/>
    <x v="0"/>
    <m/>
    <x v="10"/>
    <x v="2"/>
    <x v="0"/>
  </r>
  <r>
    <x v="48"/>
    <n v="199"/>
    <n v="504"/>
    <n v="305"/>
    <x v="31"/>
    <m/>
    <x v="10"/>
    <x v="2"/>
    <x v="1"/>
  </r>
  <r>
    <x v="49"/>
    <n v="299"/>
    <n v="600"/>
    <n v="301"/>
    <x v="29"/>
    <m/>
    <x v="10"/>
    <x v="2"/>
    <x v="1"/>
  </r>
  <r>
    <x v="50"/>
    <n v="1660"/>
    <n v="1699"/>
    <n v="39"/>
    <x v="30"/>
    <m/>
    <x v="10"/>
    <x v="2"/>
    <x v="2"/>
  </r>
  <r>
    <x v="51"/>
    <n v="299"/>
    <n v="384"/>
    <n v="85"/>
    <x v="32"/>
    <m/>
    <x v="10"/>
    <x v="2"/>
    <x v="0"/>
  </r>
  <r>
    <x v="52"/>
    <n v="1459"/>
    <n v="1499"/>
    <n v="40"/>
    <x v="33"/>
    <m/>
    <x v="10"/>
    <x v="2"/>
    <x v="2"/>
  </r>
  <r>
    <x v="53"/>
    <n v="799"/>
    <n v="1343"/>
    <n v="544"/>
    <x v="28"/>
    <m/>
    <x v="10"/>
    <x v="2"/>
    <x v="1"/>
  </r>
  <r>
    <x v="54"/>
    <n v="499"/>
    <n v="900"/>
    <n v="401"/>
    <x v="8"/>
    <m/>
    <x v="10"/>
    <x v="2"/>
    <x v="1"/>
  </r>
  <r>
    <x v="55"/>
    <n v="699"/>
    <n v="1343"/>
    <n v="644"/>
    <x v="25"/>
    <m/>
    <x v="10"/>
    <x v="2"/>
    <x v="1"/>
  </r>
  <r>
    <x v="56"/>
    <n v="799"/>
    <n v="1567"/>
    <n v="768"/>
    <x v="15"/>
    <m/>
    <x v="10"/>
    <x v="2"/>
    <x v="1"/>
  </r>
  <r>
    <x v="57"/>
    <n v="2799"/>
    <n v="3810"/>
    <n v="1011"/>
    <x v="26"/>
    <m/>
    <x v="10"/>
    <x v="2"/>
    <x v="0"/>
  </r>
  <r>
    <x v="54"/>
    <n v="399"/>
    <n v="896"/>
    <n v="497"/>
    <x v="7"/>
    <m/>
    <x v="10"/>
    <x v="2"/>
    <x v="1"/>
  </r>
  <r>
    <x v="58"/>
    <n v="2170"/>
    <n v="2500"/>
    <n v="330"/>
    <x v="34"/>
    <n v="6"/>
    <x v="13"/>
    <x v="3"/>
    <x v="2"/>
  </r>
  <r>
    <x v="59"/>
    <n v="458"/>
    <n v="986"/>
    <n v="528"/>
    <x v="20"/>
    <n v="10"/>
    <x v="14"/>
    <x v="1"/>
    <x v="1"/>
  </r>
  <r>
    <x v="60"/>
    <n v="2115"/>
    <n v="4700"/>
    <n v="2585"/>
    <x v="7"/>
    <n v="13"/>
    <x v="15"/>
    <x v="3"/>
    <x v="1"/>
  </r>
  <r>
    <x v="61"/>
    <n v="445"/>
    <n v="873"/>
    <n v="428"/>
    <x v="15"/>
    <n v="69"/>
    <x v="16"/>
    <x v="3"/>
    <x v="1"/>
  </r>
  <r>
    <x v="62"/>
    <n v="325"/>
    <n v="680"/>
    <n v="355"/>
    <x v="24"/>
    <n v="15"/>
    <x v="17"/>
    <x v="3"/>
    <x v="1"/>
  </r>
  <r>
    <x v="63"/>
    <n v="1220"/>
    <n v="1555"/>
    <n v="335"/>
    <x v="32"/>
    <n v="16"/>
    <x v="18"/>
    <x v="3"/>
    <x v="0"/>
  </r>
  <r>
    <x v="64"/>
    <n v="990"/>
    <n v="1814"/>
    <n v="824"/>
    <x v="8"/>
    <n v="6"/>
    <x v="19"/>
    <x v="3"/>
    <x v="1"/>
  </r>
  <r>
    <x v="65"/>
    <n v="1000"/>
    <n v="2000"/>
    <n v="1000"/>
    <x v="29"/>
    <n v="7"/>
    <x v="20"/>
    <x v="3"/>
    <x v="1"/>
  </r>
  <r>
    <x v="66"/>
    <n v="3750"/>
    <n v="6143"/>
    <n v="2393"/>
    <x v="35"/>
    <n v="5"/>
    <x v="14"/>
    <x v="1"/>
    <x v="0"/>
  </r>
  <r>
    <x v="67"/>
    <n v="382"/>
    <n v="700"/>
    <n v="318"/>
    <x v="8"/>
    <n v="17"/>
    <x v="21"/>
    <x v="3"/>
    <x v="1"/>
  </r>
  <r>
    <x v="68"/>
    <n v="2300"/>
    <n v="3240"/>
    <n v="940"/>
    <x v="36"/>
    <n v="5"/>
    <x v="14"/>
    <x v="1"/>
    <x v="0"/>
  </r>
  <r>
    <x v="69"/>
    <n v="345"/>
    <n v="602"/>
    <n v="257"/>
    <x v="37"/>
    <n v="6"/>
    <x v="20"/>
    <x v="3"/>
    <x v="1"/>
  </r>
  <r>
    <x v="70"/>
    <n v="509"/>
    <n v="899"/>
    <n v="390"/>
    <x v="37"/>
    <n v="5"/>
    <x v="14"/>
    <x v="1"/>
    <x v="1"/>
  </r>
  <r>
    <x v="71"/>
    <n v="968"/>
    <n v="1814"/>
    <n v="846"/>
    <x v="1"/>
    <n v="6"/>
    <x v="19"/>
    <x v="3"/>
    <x v="1"/>
  </r>
  <r>
    <x v="72"/>
    <n v="1570"/>
    <n v="2988"/>
    <n v="1418"/>
    <x v="1"/>
    <n v="7"/>
    <x v="15"/>
    <x v="3"/>
    <x v="1"/>
  </r>
  <r>
    <x v="73"/>
    <n v="790"/>
    <n v="1485"/>
    <n v="695"/>
    <x v="1"/>
    <m/>
    <x v="10"/>
    <x v="2"/>
    <x v="1"/>
  </r>
  <r>
    <x v="74"/>
    <n v="690"/>
    <n v="1200"/>
    <n v="510"/>
    <x v="37"/>
    <m/>
    <x v="10"/>
    <x v="2"/>
    <x v="1"/>
  </r>
  <r>
    <x v="75"/>
    <n v="1732"/>
    <n v="1799"/>
    <n v="67"/>
    <x v="38"/>
    <m/>
    <x v="10"/>
    <x v="2"/>
    <x v="2"/>
  </r>
  <r>
    <x v="76"/>
    <n v="230"/>
    <n v="450"/>
    <n v="220"/>
    <x v="15"/>
    <m/>
    <x v="10"/>
    <x v="2"/>
    <x v="1"/>
  </r>
  <r>
    <x v="77"/>
    <n v="1189"/>
    <n v="2199"/>
    <n v="1010"/>
    <x v="14"/>
    <n v="1"/>
    <x v="14"/>
    <x v="1"/>
    <x v="1"/>
  </r>
  <r>
    <x v="78"/>
    <n v="979"/>
    <n v="1920"/>
    <n v="941"/>
    <x v="15"/>
    <n v="1"/>
    <x v="8"/>
    <x v="0"/>
    <x v="1"/>
  </r>
  <r>
    <x v="79"/>
    <n v="1460"/>
    <n v="2290"/>
    <n v="830"/>
    <x v="39"/>
    <m/>
    <x v="10"/>
    <x v="2"/>
    <x v="0"/>
  </r>
  <r>
    <x v="80"/>
    <n v="1666"/>
    <n v="1699"/>
    <n v="33"/>
    <x v="30"/>
    <m/>
    <x v="10"/>
    <x v="2"/>
    <x v="2"/>
  </r>
  <r>
    <x v="81"/>
    <n v="330"/>
    <n v="647"/>
    <n v="317"/>
    <x v="15"/>
    <n v="1"/>
    <x v="5"/>
    <x v="1"/>
    <x v="1"/>
  </r>
  <r>
    <x v="48"/>
    <n v="176"/>
    <n v="345"/>
    <n v="169"/>
    <x v="15"/>
    <m/>
    <x v="10"/>
    <x v="2"/>
    <x v="1"/>
  </r>
  <r>
    <x v="82"/>
    <n v="1466"/>
    <n v="1699"/>
    <n v="233"/>
    <x v="40"/>
    <m/>
    <x v="10"/>
    <x v="2"/>
    <x v="2"/>
  </r>
  <r>
    <x v="83"/>
    <n v="274"/>
    <n v="537"/>
    <n v="263"/>
    <x v="15"/>
    <m/>
    <x v="10"/>
    <x v="2"/>
    <x v="1"/>
  </r>
  <r>
    <x v="84"/>
    <n v="799"/>
    <n v="900"/>
    <n v="101"/>
    <x v="41"/>
    <m/>
    <x v="10"/>
    <x v="2"/>
    <x v="2"/>
  </r>
  <r>
    <x v="56"/>
    <n v="657"/>
    <n v="1288"/>
    <n v="631"/>
    <x v="15"/>
    <m/>
    <x v="10"/>
    <x v="2"/>
    <x v="1"/>
  </r>
  <r>
    <x v="85"/>
    <n v="1468"/>
    <n v="1699"/>
    <n v="231"/>
    <x v="40"/>
    <m/>
    <x v="10"/>
    <x v="2"/>
    <x v="2"/>
  </r>
  <r>
    <x v="86"/>
    <n v="630"/>
    <n v="1100"/>
    <n v="470"/>
    <x v="37"/>
    <m/>
    <x v="10"/>
    <x v="2"/>
    <x v="1"/>
  </r>
  <r>
    <x v="87"/>
    <n v="850"/>
    <n v="1700"/>
    <n v="850"/>
    <x v="29"/>
    <m/>
    <x v="10"/>
    <x v="2"/>
    <x v="1"/>
  </r>
  <r>
    <x v="88"/>
    <n v="1300"/>
    <n v="2500"/>
    <n v="1200"/>
    <x v="25"/>
    <m/>
    <x v="10"/>
    <x v="2"/>
    <x v="1"/>
  </r>
  <r>
    <x v="89"/>
    <n v="105"/>
    <n v="200"/>
    <n v="95"/>
    <x v="25"/>
    <m/>
    <x v="10"/>
    <x v="2"/>
    <x v="1"/>
  </r>
  <r>
    <x v="90"/>
    <n v="899"/>
    <n v="1699"/>
    <n v="800"/>
    <x v="1"/>
    <m/>
    <x v="10"/>
    <x v="2"/>
    <x v="1"/>
  </r>
  <r>
    <x v="91"/>
    <n v="1200"/>
    <n v="2400"/>
    <n v="1200"/>
    <x v="29"/>
    <m/>
    <x v="10"/>
    <x v="2"/>
    <x v="1"/>
  </r>
  <r>
    <x v="92"/>
    <n v="1526"/>
    <n v="1660"/>
    <n v="134"/>
    <x v="42"/>
    <m/>
    <x v="10"/>
    <x v="2"/>
    <x v="2"/>
  </r>
  <r>
    <x v="93"/>
    <n v="1462"/>
    <n v="1499"/>
    <n v="37"/>
    <x v="30"/>
    <m/>
    <x v="10"/>
    <x v="2"/>
    <x v="2"/>
  </r>
  <r>
    <x v="94"/>
    <n v="248"/>
    <n v="486"/>
    <n v="238"/>
    <x v="15"/>
    <m/>
    <x v="10"/>
    <x v="2"/>
    <x v="1"/>
  </r>
  <r>
    <x v="95"/>
    <n v="3546"/>
    <n v="3699"/>
    <n v="153"/>
    <x v="38"/>
    <m/>
    <x v="10"/>
    <x v="2"/>
    <x v="2"/>
  </r>
  <r>
    <x v="96"/>
    <n v="525"/>
    <n v="1029"/>
    <n v="504"/>
    <x v="15"/>
    <m/>
    <x v="10"/>
    <x v="2"/>
    <x v="1"/>
  </r>
  <r>
    <x v="97"/>
    <n v="1080"/>
    <n v="1874"/>
    <n v="794"/>
    <x v="11"/>
    <m/>
    <x v="10"/>
    <x v="2"/>
    <x v="1"/>
  </r>
  <r>
    <x v="98"/>
    <n v="3640"/>
    <n v="4588"/>
    <n v="948"/>
    <x v="43"/>
    <n v="1"/>
    <x v="8"/>
    <x v="0"/>
    <x v="0"/>
  </r>
  <r>
    <x v="99"/>
    <n v="1420"/>
    <n v="2420"/>
    <n v="1000"/>
    <x v="28"/>
    <m/>
    <x v="10"/>
    <x v="2"/>
    <x v="1"/>
  </r>
  <r>
    <x v="100"/>
    <n v="1875"/>
    <n v="1899"/>
    <n v="24"/>
    <x v="44"/>
    <m/>
    <x v="10"/>
    <x v="2"/>
    <x v="2"/>
  </r>
  <r>
    <x v="101"/>
    <n v="198"/>
    <n v="260"/>
    <n v="62"/>
    <x v="6"/>
    <m/>
    <x v="10"/>
    <x v="2"/>
    <x v="0"/>
  </r>
  <r>
    <x v="102"/>
    <n v="1150"/>
    <n v="1737"/>
    <n v="587"/>
    <x v="10"/>
    <m/>
    <x v="10"/>
    <x v="2"/>
    <x v="0"/>
  </r>
  <r>
    <x v="103"/>
    <n v="1190"/>
    <n v="1810"/>
    <n v="620"/>
    <x v="10"/>
    <m/>
    <x v="10"/>
    <x v="2"/>
    <x v="0"/>
  </r>
  <r>
    <x v="104"/>
    <n v="1658"/>
    <n v="1699"/>
    <n v="41"/>
    <x v="30"/>
    <m/>
    <x v="10"/>
    <x v="2"/>
    <x v="2"/>
  </r>
  <r>
    <x v="105"/>
    <n v="1768"/>
    <n v="1799"/>
    <n v="31"/>
    <x v="30"/>
    <m/>
    <x v="10"/>
    <x v="2"/>
    <x v="2"/>
  </r>
  <r>
    <x v="106"/>
    <n v="199"/>
    <n v="553"/>
    <n v="354"/>
    <x v="45"/>
    <m/>
    <x v="10"/>
    <x v="2"/>
    <x v="1"/>
  </r>
  <r>
    <x v="107"/>
    <n v="450"/>
    <n v="900"/>
    <n v="450"/>
    <x v="29"/>
    <n v="1"/>
    <x v="22"/>
    <x v="3"/>
    <x v="1"/>
  </r>
  <r>
    <x v="108"/>
    <n v="169"/>
    <n v="320"/>
    <n v="151"/>
    <x v="1"/>
    <m/>
    <x v="1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565FA-D05E-4AA3-917E-39A03CBB650C}" name="PivotTable7"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 showAll="0"/>
    <pivotField numFmtId="1" showAll="0"/>
    <pivotField numFmtId="1" showAll="0"/>
    <pivotField dataField="1" numFmtId="9" showAll="0">
      <items count="10">
        <item x="0"/>
        <item x="1"/>
        <item x="2"/>
        <item x="3"/>
        <item x="4"/>
        <item x="5"/>
        <item x="6"/>
        <item x="7"/>
        <item x="8"/>
        <item t="default"/>
      </items>
    </pivotField>
    <pivotField showAll="0"/>
    <pivotField dataField="1" showAll="0">
      <items count="7">
        <item x="0"/>
        <item x="1"/>
        <item x="2"/>
        <item x="3"/>
        <item x="4"/>
        <item x="5"/>
        <item t="default"/>
      </items>
    </pivotField>
    <pivotField axis="axisRow" showAll="0">
      <items count="5">
        <item h="1" x="2"/>
        <item x="1"/>
        <item x="0"/>
        <item x="3"/>
        <item t="default"/>
      </items>
    </pivotField>
    <pivotField showAll="0">
      <items count="4">
        <item x="1"/>
        <item x="2"/>
        <item x="0"/>
        <item t="default"/>
      </items>
    </pivotField>
  </pivotFields>
  <rowFields count="1">
    <field x="7"/>
  </rowFields>
  <rowItems count="4">
    <i>
      <x v="1"/>
    </i>
    <i>
      <x v="2"/>
    </i>
    <i>
      <x v="3"/>
    </i>
    <i t="grand">
      <x/>
    </i>
  </rowItems>
  <colFields count="1">
    <field x="-2"/>
  </colFields>
  <colItems count="2">
    <i>
      <x/>
    </i>
    <i i="1">
      <x v="1"/>
    </i>
  </colItems>
  <dataFields count="2">
    <dataField name="Average of Ratings" fld="6" subtotal="average" baseField="7" baseItem="0"/>
    <dataField name="Average of Discount"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B65C3-2D42-4343-8E45-018ADE270F2D}" name="PivotTable8"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showAll="0"/>
    <pivotField numFmtId="1" showAll="0"/>
    <pivotField numFmtId="1" showAll="0"/>
    <pivotField numFmtId="1" showAll="0"/>
    <pivotField axis="axisRow" numFmtId="9" showAll="0">
      <items count="10">
        <item x="0"/>
        <item x="1"/>
        <item x="2"/>
        <item x="3"/>
        <item x="4"/>
        <item x="5"/>
        <item x="6"/>
        <item x="7"/>
        <item x="8"/>
        <item t="default"/>
      </items>
    </pivotField>
    <pivotField showAll="0"/>
    <pivotField dataField="1" showAll="0">
      <items count="7">
        <item h="1" x="0"/>
        <item h="1" x="1"/>
        <item h="1" x="2"/>
        <item x="3"/>
        <item h="1" x="4"/>
        <item h="1" x="5"/>
        <item t="default"/>
      </items>
    </pivotField>
    <pivotField showAll="0">
      <items count="5">
        <item h="1" x="2"/>
        <item x="1"/>
        <item x="0"/>
        <item x="3"/>
        <item t="default"/>
      </items>
    </pivotField>
    <pivotField showAll="0">
      <items count="4">
        <item x="1"/>
        <item x="2"/>
        <item x="0"/>
        <item t="default"/>
      </items>
    </pivotField>
  </pivotFields>
  <rowFields count="1">
    <field x="4"/>
  </rowFields>
  <rowItems count="7">
    <i>
      <x v="1"/>
    </i>
    <i>
      <x v="2"/>
    </i>
    <i>
      <x v="3"/>
    </i>
    <i>
      <x v="4"/>
    </i>
    <i>
      <x v="5"/>
    </i>
    <i>
      <x v="6"/>
    </i>
    <i t="grand">
      <x/>
    </i>
  </rowItems>
  <colItems count="1">
    <i/>
  </colItems>
  <dataFields count="1">
    <dataField name="Average of Ratings" fld="6" subtotal="average" baseField="4" baseItem="0"/>
  </dataFields>
  <formats count="1">
    <format dxfId="0">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B31435-FF6D-4099-82AA-9C9C08021D96}" name="PivotTable9"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showAll="0"/>
    <pivotField numFmtId="1" showAll="0"/>
    <pivotField numFmtId="1" showAll="0"/>
    <pivotField numFmtId="1" showAll="0"/>
    <pivotField numFmtId="9" showAll="0">
      <items count="10">
        <item x="0"/>
        <item x="1"/>
        <item x="2"/>
        <item x="3"/>
        <item x="4"/>
        <item x="5"/>
        <item x="6"/>
        <item x="7"/>
        <item x="8"/>
        <item t="default"/>
      </items>
    </pivotField>
    <pivotField dataField="1" showAll="0"/>
    <pivotField axis="axisRow" showAll="0">
      <items count="7">
        <item x="0"/>
        <item x="1"/>
        <item x="2"/>
        <item x="3"/>
        <item x="4"/>
        <item x="5"/>
        <item t="default"/>
      </items>
    </pivotField>
    <pivotField showAll="0">
      <items count="5">
        <item h="1" x="2"/>
        <item x="1"/>
        <item x="0"/>
        <item x="3"/>
        <item t="default"/>
      </items>
    </pivotField>
    <pivotField showAll="0">
      <items count="4">
        <item x="1"/>
        <item x="2"/>
        <item x="0"/>
        <item t="default"/>
      </items>
    </pivotField>
  </pivotFields>
  <rowFields count="1">
    <field x="6"/>
  </rowFields>
  <rowItems count="4">
    <i>
      <x v="2"/>
    </i>
    <i>
      <x v="3"/>
    </i>
    <i>
      <x v="4"/>
    </i>
    <i t="grand">
      <x/>
    </i>
  </rowItems>
  <colItems count="1">
    <i/>
  </colItems>
  <dataFields count="1">
    <dataField name="Count of Review" fld="5"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E70CC-3295-4A27-82E2-A2AD399854BD}" name="PivotTable11"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Ratings" fld="1" subtotal="average"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DAB6CE-C58B-4DB8-82FB-96A7FDCE729B}" name="PivotTable12"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measureFilter="1" dataSourceSort="1" defaultSubtotal="0" defaultAttributeDrillState="1">
      <items count="5">
        <item x="0"/>
        <item n="T"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Ratings" fld="1" subtotal="average"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top="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20F680-47AA-4DE1-8368-E626F4112507}" name="PivotTable13"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items count="10">
        <item x="0"/>
        <item x="1"/>
        <item x="2"/>
        <item x="3"/>
        <item x="4"/>
        <item x="5"/>
        <item x="6"/>
        <item x="7"/>
        <item x="8"/>
        <item t="default"/>
      </items>
    </pivotField>
    <pivotField showAll="0"/>
    <pivotField showAll="0"/>
    <pivotField showAll="0">
      <items count="5">
        <item h="1" x="2"/>
        <item x="1"/>
        <item x="0"/>
        <item x="3"/>
        <item t="default"/>
      </items>
    </pivotField>
    <pivotField showAll="0">
      <items count="4">
        <item x="1"/>
        <item x="2"/>
        <item x="0"/>
        <item t="default"/>
      </items>
    </pivotField>
  </pivotFields>
  <rowFields count="1">
    <field x="0"/>
  </rowFields>
  <rowItems count="12">
    <i>
      <x v="17"/>
    </i>
    <i>
      <x v="20"/>
    </i>
    <i>
      <x v="30"/>
    </i>
    <i>
      <x v="40"/>
    </i>
    <i>
      <x v="52"/>
    </i>
    <i>
      <x v="60"/>
    </i>
    <i>
      <x v="64"/>
    </i>
    <i>
      <x v="67"/>
    </i>
    <i>
      <x v="70"/>
    </i>
    <i>
      <x v="84"/>
    </i>
    <i>
      <x v="104"/>
    </i>
    <i t="grand">
      <x/>
    </i>
  </rowItems>
  <colItems count="1">
    <i/>
  </colItems>
  <dataFields count="1">
    <dataField name="Average of Discount" fld="4" subtotal="average"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0133EC-84CB-4BD0-899D-CB37A07E36A5}" name="PivotTable16" cacheId="3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Review" fld="1" subtotal="average"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Review"/>
    <pivotHierarchy dragToData="1" caption="Average of Review"/>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A92F96-CD66-45F7-8A88-596C7DA23555}" name="PivotTable17" cacheId="2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1" firstHeaderRow="0"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items count="10">
        <item x="0"/>
        <item x="1"/>
        <item x="2"/>
        <item x="3"/>
        <item x="4"/>
        <item x="5"/>
        <item x="6"/>
        <item x="7"/>
        <item x="8"/>
        <item t="default"/>
      </items>
    </pivotField>
    <pivotField dataField="1" showAll="0"/>
    <pivotField dataField="1" showAll="0">
      <items count="7">
        <item x="0"/>
        <item x="1"/>
        <item x="2"/>
        <item x="3"/>
        <item x="4"/>
        <item x="5"/>
        <item t="default"/>
      </items>
    </pivotField>
    <pivotField showAll="0">
      <items count="5">
        <item h="1" x="2"/>
        <item x="1"/>
        <item x="0"/>
        <item x="3"/>
        <item t="default"/>
      </items>
    </pivotField>
    <pivotField showAll="0">
      <items count="4">
        <item x="1"/>
        <item x="2"/>
        <item x="0"/>
        <item t="default"/>
      </items>
    </pivotField>
  </pivotFields>
  <rowFields count="1">
    <field x="0"/>
  </rowFields>
  <rowItems count="58">
    <i>
      <x/>
    </i>
    <i>
      <x v="1"/>
    </i>
    <i>
      <x v="2"/>
    </i>
    <i>
      <x v="3"/>
    </i>
    <i>
      <x v="4"/>
    </i>
    <i>
      <x v="5"/>
    </i>
    <i>
      <x v="7"/>
    </i>
    <i>
      <x v="8"/>
    </i>
    <i>
      <x v="11"/>
    </i>
    <i>
      <x v="16"/>
    </i>
    <i>
      <x v="17"/>
    </i>
    <i>
      <x v="18"/>
    </i>
    <i>
      <x v="20"/>
    </i>
    <i>
      <x v="22"/>
    </i>
    <i>
      <x v="25"/>
    </i>
    <i>
      <x v="26"/>
    </i>
    <i>
      <x v="27"/>
    </i>
    <i>
      <x v="28"/>
    </i>
    <i>
      <x v="30"/>
    </i>
    <i>
      <x v="35"/>
    </i>
    <i>
      <x v="38"/>
    </i>
    <i>
      <x v="40"/>
    </i>
    <i>
      <x v="41"/>
    </i>
    <i>
      <x v="44"/>
    </i>
    <i>
      <x v="52"/>
    </i>
    <i>
      <x v="56"/>
    </i>
    <i>
      <x v="57"/>
    </i>
    <i>
      <x v="58"/>
    </i>
    <i>
      <x v="59"/>
    </i>
    <i>
      <x v="60"/>
    </i>
    <i>
      <x v="61"/>
    </i>
    <i>
      <x v="62"/>
    </i>
    <i>
      <x v="63"/>
    </i>
    <i>
      <x v="64"/>
    </i>
    <i>
      <x v="65"/>
    </i>
    <i>
      <x v="66"/>
    </i>
    <i>
      <x v="67"/>
    </i>
    <i>
      <x v="68"/>
    </i>
    <i>
      <x v="69"/>
    </i>
    <i>
      <x v="70"/>
    </i>
    <i>
      <x v="72"/>
    </i>
    <i>
      <x v="73"/>
    </i>
    <i>
      <x v="75"/>
    </i>
    <i>
      <x v="76"/>
    </i>
    <i>
      <x v="77"/>
    </i>
    <i>
      <x v="80"/>
    </i>
    <i>
      <x v="84"/>
    </i>
    <i>
      <x v="87"/>
    </i>
    <i>
      <x v="90"/>
    </i>
    <i>
      <x v="91"/>
    </i>
    <i>
      <x v="93"/>
    </i>
    <i>
      <x v="95"/>
    </i>
    <i>
      <x v="101"/>
    </i>
    <i>
      <x v="104"/>
    </i>
    <i>
      <x v="106"/>
    </i>
    <i>
      <x v="107"/>
    </i>
    <i>
      <x v="108"/>
    </i>
    <i t="grand">
      <x/>
    </i>
  </rowItems>
  <colFields count="1">
    <field x="-2"/>
  </colFields>
  <colItems count="3">
    <i>
      <x/>
    </i>
    <i i="1">
      <x v="1"/>
    </i>
    <i i="2">
      <x v="2"/>
    </i>
  </colItems>
  <dataFields count="3">
    <dataField name="Average of Ratings" fld="6" subtotal="average" baseField="0" baseItem="0"/>
    <dataField name="Average of Discount" fld="4" subtotal="average" baseField="0" baseItem="0" numFmtId="9"/>
    <dataField name="Average of Review"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6548E-4D68-43DF-89B4-B1FC38DEE857}" name="PivotTable18" cacheId="3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8"/>
    </i>
    <i>
      <x v="1"/>
    </i>
    <i>
      <x v="4"/>
    </i>
    <i>
      <x v="7"/>
    </i>
    <i>
      <x v="9"/>
    </i>
    <i>
      <x v="3"/>
    </i>
    <i>
      <x/>
    </i>
    <i>
      <x v="5"/>
    </i>
    <i>
      <x v="6"/>
    </i>
    <i t="grand">
      <x/>
    </i>
  </rowItems>
  <colItems count="1">
    <i/>
  </colItems>
  <dataFields count="1">
    <dataField name="Average of Discount" fld="1" subtotal="average" baseField="0" baseItem="0" numFmtId="9"/>
  </dataFields>
  <formats count="2">
    <format dxfId="1">
      <pivotArea outline="0" collapsedLevelsAreSubtotals="1" fieldPosition="0"/>
    </format>
    <format dxfId="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7E5B84-F399-43D3-BBD1-4F92AA260F54}" name="PivotTable20" cacheId="3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5"/>
    </i>
    <i>
      <x v="1"/>
    </i>
    <i>
      <x v="8"/>
    </i>
    <i>
      <x v="2"/>
    </i>
    <i>
      <x v="4"/>
    </i>
    <i>
      <x v="7"/>
    </i>
    <i>
      <x v="9"/>
    </i>
    <i>
      <x/>
    </i>
    <i t="grand">
      <x/>
    </i>
  </rowItems>
  <colItems count="1">
    <i/>
  </colItems>
  <dataFields count="1">
    <dataField name="Average of Ratings" fld="1" subtotal="average" baseField="0"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5B7444-7DBA-463A-8F03-302CB95BA343}" name="PivotTable21" cacheId="3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2"/>
    </i>
    <i>
      <x v="7"/>
    </i>
    <i>
      <x v="3"/>
    </i>
    <i>
      <x/>
    </i>
    <i>
      <x v="9"/>
    </i>
    <i>
      <x v="5"/>
    </i>
    <i>
      <x v="8"/>
    </i>
    <i>
      <x v="6"/>
    </i>
    <i>
      <x v="4"/>
    </i>
    <i t="grand">
      <x/>
    </i>
  </rowItems>
  <colItems count="1">
    <i/>
  </colItems>
  <dataFields count="1">
    <dataField name="Average of Review" fld="1" subtotal="average" baseField="0" baseItem="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Review"/>
    <pivotHierarchy dragToData="1" caption="Average of Review"/>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2D4EAA-DDA4-4C42-8DFA-5AE316775D3F}" name="PivotTable23"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0AA89D-E434-4314-A267-122ABBEDBCD6}" name="PivotTable24" cacheId="3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 (1)!$A$1:$I$1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F7A2D469-6F1D-4B17-B2AE-FFECBABDB1C8}" sourceName="Rating category">
  <pivotTables>
    <pivotTable tabId="3" name="PivotTable8"/>
    <pivotTable tabId="4" name="PivotTable9"/>
    <pivotTable tabId="2" name="PivotTable7"/>
    <pivotTable tabId="12" name="PivotTable17"/>
    <pivotTable tabId="8" name="PivotTable13"/>
  </pivotTables>
  <data>
    <tabular pivotCacheId="1662514745">
      <items count="4">
        <i x="2"/>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centage_discount_category" xr10:uid="{7627EEF8-9FFF-437A-8473-22404CE8C799}" sourceName="Percentage discount category">
  <pivotTables>
    <pivotTable tabId="3" name="PivotTable8"/>
    <pivotTable tabId="4" name="PivotTable9"/>
    <pivotTable tabId="2" name="PivotTable7"/>
    <pivotTable tabId="12" name="PivotTable17"/>
    <pivotTable tabId="8" name="PivotTable13"/>
  </pivotTables>
  <data>
    <tabular pivotCacheId="166251474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7FA08D0D-D941-40CD-801A-39AD81E18561}" cache="Slicer_Rating_category" caption="Rating category" rowHeight="241300"/>
  <slicer name="Percentage discount category" xr10:uid="{B33A3096-57F0-4617-85CD-1F5862381C31}" cache="Slicer_Percentage_discount_category" caption="Percentage 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845788C2-F0B5-44E4-A09D-8BA59ADADDB2}" cache="Slicer_Rating_category" caption="Rating category" startItem="1" rowHeight="241300"/>
  <slicer name="Percentage discount category 1" xr10:uid="{4DDBE5C1-121A-4566-A3A7-706C9C5D0BB9}" cache="Slicer_Percentage_discount_category" caption="Percentage 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16CD-4E34-4BA4-A85A-456A818446B0}">
  <dimension ref="A3:C7"/>
  <sheetViews>
    <sheetView workbookViewId="0">
      <selection activeCell="D15" sqref="D15"/>
    </sheetView>
  </sheetViews>
  <sheetFormatPr defaultRowHeight="14.5" x14ac:dyDescent="0.35"/>
  <cols>
    <col min="1" max="1" width="12.36328125" bestFit="1" customWidth="1"/>
    <col min="2" max="2" width="16.36328125" bestFit="1" customWidth="1"/>
    <col min="3" max="3" width="17.7265625" bestFit="1" customWidth="1"/>
  </cols>
  <sheetData>
    <row r="3" spans="1:3" x14ac:dyDescent="0.35">
      <c r="A3" s="8" t="s">
        <v>124</v>
      </c>
      <c r="B3" t="s">
        <v>129</v>
      </c>
      <c r="C3" t="s">
        <v>130</v>
      </c>
    </row>
    <row r="4" spans="1:3" x14ac:dyDescent="0.35">
      <c r="A4" s="9" t="s">
        <v>125</v>
      </c>
      <c r="B4" s="10">
        <v>3.8090909090909082</v>
      </c>
      <c r="C4" s="1">
        <v>0.38045454545454549</v>
      </c>
    </row>
    <row r="5" spans="1:3" x14ac:dyDescent="0.35">
      <c r="A5" s="9" t="s">
        <v>126</v>
      </c>
      <c r="B5" s="10">
        <v>4.7478260869565219</v>
      </c>
      <c r="C5" s="1">
        <v>0.3765217391304348</v>
      </c>
    </row>
    <row r="6" spans="1:3" x14ac:dyDescent="0.35">
      <c r="A6" s="9" t="s">
        <v>127</v>
      </c>
      <c r="B6" s="10">
        <v>2.3916666666666666</v>
      </c>
      <c r="C6" s="1">
        <v>0.43166666666666664</v>
      </c>
    </row>
    <row r="7" spans="1:3" x14ac:dyDescent="0.35">
      <c r="A7" s="9" t="s">
        <v>128</v>
      </c>
      <c r="B7" s="10">
        <v>3.8894736842105244</v>
      </c>
      <c r="C7" s="1">
        <v>0.38964912280701741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19FC-CD01-472F-925D-7A52E33BCBA4}">
  <dimension ref="A3:B10"/>
  <sheetViews>
    <sheetView workbookViewId="0">
      <selection activeCell="A4" sqref="A4"/>
    </sheetView>
  </sheetViews>
  <sheetFormatPr defaultRowHeight="14.5" x14ac:dyDescent="0.35"/>
  <cols>
    <col min="1" max="1" width="12.36328125" bestFit="1" customWidth="1"/>
    <col min="2" max="2" width="16.36328125" bestFit="1" customWidth="1"/>
  </cols>
  <sheetData>
    <row r="3" spans="1:2" x14ac:dyDescent="0.35">
      <c r="A3" s="13" t="s">
        <v>124</v>
      </c>
      <c r="B3" t="s">
        <v>129</v>
      </c>
    </row>
    <row r="4" spans="1:2" x14ac:dyDescent="0.35">
      <c r="A4" s="11" t="s">
        <v>132</v>
      </c>
      <c r="B4" s="10">
        <v>4</v>
      </c>
    </row>
    <row r="5" spans="1:2" x14ac:dyDescent="0.35">
      <c r="A5" s="11" t="s">
        <v>133</v>
      </c>
      <c r="B5" s="10">
        <v>3.75</v>
      </c>
    </row>
    <row r="6" spans="1:2" x14ac:dyDescent="0.35">
      <c r="A6" s="11" t="s">
        <v>134</v>
      </c>
      <c r="B6" s="10">
        <v>4.26</v>
      </c>
    </row>
    <row r="7" spans="1:2" x14ac:dyDescent="0.35">
      <c r="A7" s="11" t="s">
        <v>135</v>
      </c>
      <c r="B7" s="10">
        <v>4.3083333333333327</v>
      </c>
    </row>
    <row r="8" spans="1:2" x14ac:dyDescent="0.35">
      <c r="A8" s="11" t="s">
        <v>136</v>
      </c>
      <c r="B8" s="10">
        <v>3.5190476190476185</v>
      </c>
    </row>
    <row r="9" spans="1:2" x14ac:dyDescent="0.35">
      <c r="A9" s="11" t="s">
        <v>137</v>
      </c>
      <c r="B9" s="10">
        <v>3.8333333333333335</v>
      </c>
    </row>
    <row r="10" spans="1:2" x14ac:dyDescent="0.35">
      <c r="A10" s="11" t="s">
        <v>128</v>
      </c>
      <c r="B10" s="10">
        <v>3.8894736842105271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E0E7-E7F8-40EA-9DBF-CE23BCEB125C}">
  <dimension ref="A3:B7"/>
  <sheetViews>
    <sheetView workbookViewId="0">
      <selection activeCell="B4" sqref="B4"/>
    </sheetView>
  </sheetViews>
  <sheetFormatPr defaultRowHeight="14.5" x14ac:dyDescent="0.35"/>
  <cols>
    <col min="1" max="1" width="12.36328125" bestFit="1" customWidth="1"/>
    <col min="2" max="2" width="14.54296875" bestFit="1" customWidth="1"/>
  </cols>
  <sheetData>
    <row r="3" spans="1:2" x14ac:dyDescent="0.35">
      <c r="A3" s="8" t="s">
        <v>124</v>
      </c>
      <c r="B3" t="s">
        <v>131</v>
      </c>
    </row>
    <row r="4" spans="1:2" x14ac:dyDescent="0.35">
      <c r="A4" s="9" t="s">
        <v>138</v>
      </c>
      <c r="B4" s="10">
        <v>12</v>
      </c>
    </row>
    <row r="5" spans="1:2" x14ac:dyDescent="0.35">
      <c r="A5" s="9" t="s">
        <v>139</v>
      </c>
      <c r="B5" s="10">
        <v>9</v>
      </c>
    </row>
    <row r="6" spans="1:2" x14ac:dyDescent="0.35">
      <c r="A6" s="9" t="s">
        <v>140</v>
      </c>
      <c r="B6" s="10">
        <v>36</v>
      </c>
    </row>
    <row r="7" spans="1:2" x14ac:dyDescent="0.35">
      <c r="A7" s="9" t="s">
        <v>128</v>
      </c>
      <c r="B7" s="10">
        <v>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8299-B6AF-471B-B8E9-AB0D1687E0E2}">
  <dimension ref="A3:B9"/>
  <sheetViews>
    <sheetView workbookViewId="0">
      <selection activeCell="B13" sqref="B13"/>
    </sheetView>
  </sheetViews>
  <sheetFormatPr defaultRowHeight="14.5" x14ac:dyDescent="0.35"/>
  <cols>
    <col min="1" max="1" width="64.453125" bestFit="1" customWidth="1"/>
    <col min="2" max="2" width="16.36328125" bestFit="1" customWidth="1"/>
  </cols>
  <sheetData>
    <row r="3" spans="1:2" x14ac:dyDescent="0.35">
      <c r="A3" s="8" t="s">
        <v>124</v>
      </c>
      <c r="B3" t="s">
        <v>129</v>
      </c>
    </row>
    <row r="4" spans="1:2" x14ac:dyDescent="0.35">
      <c r="A4" s="9" t="s">
        <v>86</v>
      </c>
      <c r="B4" s="10">
        <v>5</v>
      </c>
    </row>
    <row r="5" spans="1:2" x14ac:dyDescent="0.35">
      <c r="A5" s="9" t="s">
        <v>106</v>
      </c>
      <c r="B5" s="10">
        <v>5</v>
      </c>
    </row>
    <row r="6" spans="1:2" x14ac:dyDescent="0.35">
      <c r="A6" s="9" t="s">
        <v>29</v>
      </c>
      <c r="B6" s="10">
        <v>5</v>
      </c>
    </row>
    <row r="7" spans="1:2" x14ac:dyDescent="0.35">
      <c r="A7" s="9" t="s">
        <v>28</v>
      </c>
      <c r="B7" s="10">
        <v>5</v>
      </c>
    </row>
    <row r="8" spans="1:2" x14ac:dyDescent="0.35">
      <c r="A8" s="9" t="s">
        <v>110</v>
      </c>
      <c r="B8" s="10">
        <v>5</v>
      </c>
    </row>
    <row r="9" spans="1:2" x14ac:dyDescent="0.35">
      <c r="A9" s="9" t="s">
        <v>128</v>
      </c>
      <c r="B9" s="10">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BF03-042A-4414-BDF3-D26E92997775}">
  <dimension ref="A3:B9"/>
  <sheetViews>
    <sheetView workbookViewId="0">
      <selection activeCell="P13" sqref="P13"/>
    </sheetView>
  </sheetViews>
  <sheetFormatPr defaultRowHeight="14.5" x14ac:dyDescent="0.35"/>
  <cols>
    <col min="1" max="1" width="66.453125" bestFit="1" customWidth="1"/>
    <col min="2" max="2" width="16.36328125" bestFit="1" customWidth="1"/>
  </cols>
  <sheetData>
    <row r="3" spans="1:2" x14ac:dyDescent="0.35">
      <c r="A3" s="8" t="s">
        <v>124</v>
      </c>
      <c r="B3" t="s">
        <v>129</v>
      </c>
    </row>
    <row r="4" spans="1:2" x14ac:dyDescent="0.35">
      <c r="A4" s="9" t="s">
        <v>101</v>
      </c>
      <c r="B4" s="10">
        <v>2.1</v>
      </c>
    </row>
    <row r="5" spans="1:2" x14ac:dyDescent="0.35">
      <c r="A5" s="9" t="s">
        <v>141</v>
      </c>
      <c r="B5" s="10">
        <v>2.2000000000000002</v>
      </c>
    </row>
    <row r="6" spans="1:2" x14ac:dyDescent="0.35">
      <c r="A6" s="9" t="s">
        <v>48</v>
      </c>
      <c r="B6" s="10">
        <v>2.2000000000000002</v>
      </c>
    </row>
    <row r="7" spans="1:2" x14ac:dyDescent="0.35">
      <c r="A7" s="9" t="s">
        <v>104</v>
      </c>
      <c r="B7" s="10">
        <v>2.1</v>
      </c>
    </row>
    <row r="8" spans="1:2" x14ac:dyDescent="0.35">
      <c r="A8" s="9" t="s">
        <v>113</v>
      </c>
      <c r="B8" s="10">
        <v>2</v>
      </c>
    </row>
    <row r="9" spans="1:2" x14ac:dyDescent="0.35">
      <c r="A9" s="9" t="s">
        <v>128</v>
      </c>
      <c r="B9" s="10">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76A1-E897-41E9-BBB1-FFF27CABBF20}">
  <dimension ref="A3:B19"/>
  <sheetViews>
    <sheetView workbookViewId="0">
      <selection activeCell="D10" sqref="D10"/>
    </sheetView>
  </sheetViews>
  <sheetFormatPr defaultRowHeight="13.5" x14ac:dyDescent="0.35"/>
  <cols>
    <col min="1" max="1" width="69.54296875" bestFit="1" customWidth="1"/>
    <col min="2" max="2" width="17.7265625" bestFit="1" customWidth="1"/>
  </cols>
  <sheetData>
    <row r="3" spans="1:2" ht="14.5" x14ac:dyDescent="0.35">
      <c r="A3" s="8" t="s">
        <v>124</v>
      </c>
      <c r="B3" t="s">
        <v>130</v>
      </c>
    </row>
    <row r="4" spans="1:2" ht="14.5" x14ac:dyDescent="0.35">
      <c r="A4" s="9" t="s">
        <v>49</v>
      </c>
      <c r="B4" s="1">
        <v>0.5</v>
      </c>
    </row>
    <row r="5" spans="1:2" ht="14.5" x14ac:dyDescent="0.35">
      <c r="A5" s="9" t="s">
        <v>19</v>
      </c>
      <c r="B5" s="1">
        <v>0.53</v>
      </c>
    </row>
    <row r="6" spans="1:2" ht="14.5" x14ac:dyDescent="0.35">
      <c r="A6" s="9" t="s">
        <v>101</v>
      </c>
      <c r="B6" s="1">
        <v>0.55000000000000004</v>
      </c>
    </row>
    <row r="7" spans="1:2" ht="14.5" x14ac:dyDescent="0.35">
      <c r="A7" s="9" t="s">
        <v>86</v>
      </c>
      <c r="B7" s="1">
        <v>0.51</v>
      </c>
    </row>
    <row r="8" spans="1:2" ht="14.5" x14ac:dyDescent="0.35">
      <c r="A8" s="9" t="s">
        <v>29</v>
      </c>
      <c r="B8" s="1">
        <v>0.53</v>
      </c>
    </row>
    <row r="9" spans="1:2" ht="14.5" x14ac:dyDescent="0.35">
      <c r="A9" s="9" t="s">
        <v>89</v>
      </c>
      <c r="B9" s="1">
        <v>0.52</v>
      </c>
    </row>
    <row r="10" spans="1:2" ht="14.5" x14ac:dyDescent="0.35">
      <c r="A10" s="9" t="s">
        <v>46</v>
      </c>
      <c r="B10" s="1">
        <v>0.52</v>
      </c>
    </row>
    <row r="11" spans="1:2" ht="14.5" x14ac:dyDescent="0.35">
      <c r="A11" s="9" t="s">
        <v>22</v>
      </c>
      <c r="B11" s="1">
        <v>0.54</v>
      </c>
    </row>
    <row r="12" spans="1:2" ht="14.5" x14ac:dyDescent="0.35">
      <c r="A12" s="9" t="s">
        <v>9</v>
      </c>
      <c r="B12" s="1">
        <v>0.55000000000000004</v>
      </c>
    </row>
    <row r="13" spans="1:2" ht="14.5" x14ac:dyDescent="0.35">
      <c r="A13" s="9" t="s">
        <v>44</v>
      </c>
      <c r="B13" s="1">
        <v>0.54</v>
      </c>
    </row>
    <row r="14" spans="1:2" ht="14.5" x14ac:dyDescent="0.35">
      <c r="A14" s="9" t="s">
        <v>113</v>
      </c>
      <c r="B14" s="1">
        <v>0.5</v>
      </c>
    </row>
    <row r="15" spans="1:2" ht="14.5" x14ac:dyDescent="0.35">
      <c r="A15" s="9" t="s">
        <v>128</v>
      </c>
      <c r="B15" s="1">
        <v>0.52636363636363637</v>
      </c>
    </row>
    <row r="16" spans="1:2" ht="14.5" x14ac:dyDescent="0.35"/>
    <row r="17" ht="14.5" x14ac:dyDescent="0.35"/>
    <row r="18" ht="14.5" x14ac:dyDescent="0.35"/>
    <row r="19" 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9CD0F-1121-4294-B9E4-BEA8EC8CB766}">
  <dimension ref="A3:B14"/>
  <sheetViews>
    <sheetView workbookViewId="0">
      <selection activeCell="E8" sqref="E8"/>
    </sheetView>
  </sheetViews>
  <sheetFormatPr defaultRowHeight="14.5" x14ac:dyDescent="0.35"/>
  <cols>
    <col min="1" max="1" width="60.1796875" bestFit="1" customWidth="1"/>
    <col min="2" max="2" width="16.1796875" bestFit="1" customWidth="1"/>
  </cols>
  <sheetData>
    <row r="3" spans="1:2" x14ac:dyDescent="0.35">
      <c r="A3" s="8" t="s">
        <v>124</v>
      </c>
      <c r="B3" t="s">
        <v>142</v>
      </c>
    </row>
    <row r="4" spans="1:2" x14ac:dyDescent="0.35">
      <c r="A4" s="9" t="s">
        <v>12</v>
      </c>
      <c r="B4" s="10">
        <v>39</v>
      </c>
    </row>
    <row r="5" spans="1:2" x14ac:dyDescent="0.35">
      <c r="A5" s="9" t="s">
        <v>45</v>
      </c>
      <c r="B5" s="10">
        <v>69</v>
      </c>
    </row>
    <row r="6" spans="1:2" x14ac:dyDescent="0.35">
      <c r="A6" s="9" t="s">
        <v>7</v>
      </c>
      <c r="B6" s="10">
        <v>55</v>
      </c>
    </row>
    <row r="7" spans="1:2" x14ac:dyDescent="0.35">
      <c r="A7" s="9" t="s">
        <v>18</v>
      </c>
      <c r="B7" s="10">
        <v>44</v>
      </c>
    </row>
    <row r="8" spans="1:2" x14ac:dyDescent="0.35">
      <c r="A8" s="9" t="s">
        <v>26</v>
      </c>
      <c r="B8" s="10">
        <v>20</v>
      </c>
    </row>
    <row r="9" spans="1:2" x14ac:dyDescent="0.35">
      <c r="A9" s="9" t="s">
        <v>92</v>
      </c>
      <c r="B9" s="10">
        <v>32</v>
      </c>
    </row>
    <row r="10" spans="1:2" x14ac:dyDescent="0.35">
      <c r="A10" s="9" t="s">
        <v>91</v>
      </c>
      <c r="B10" s="10">
        <v>20</v>
      </c>
    </row>
    <row r="11" spans="1:2" x14ac:dyDescent="0.35">
      <c r="A11" s="9" t="s">
        <v>23</v>
      </c>
      <c r="B11" s="10">
        <v>49</v>
      </c>
    </row>
    <row r="12" spans="1:2" x14ac:dyDescent="0.35">
      <c r="A12" s="9" t="s">
        <v>83</v>
      </c>
      <c r="B12" s="10">
        <v>24</v>
      </c>
    </row>
    <row r="13" spans="1:2" x14ac:dyDescent="0.35">
      <c r="A13" s="9" t="s">
        <v>93</v>
      </c>
      <c r="B13" s="10">
        <v>36</v>
      </c>
    </row>
    <row r="14" spans="1:2" x14ac:dyDescent="0.35">
      <c r="A14" s="9" t="s">
        <v>128</v>
      </c>
      <c r="B14" s="10">
        <v>38.799999999999997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7911-9CAB-4DEA-8EA5-839BB7A2AB1B}">
  <dimension ref="A3:D61"/>
  <sheetViews>
    <sheetView workbookViewId="0">
      <selection activeCell="B17" sqref="B17"/>
    </sheetView>
  </sheetViews>
  <sheetFormatPr defaultRowHeight="14.5" x14ac:dyDescent="0.35"/>
  <cols>
    <col min="1" max="1" width="73.08984375" bestFit="1" customWidth="1"/>
    <col min="2" max="2" width="16.36328125" bestFit="1" customWidth="1"/>
    <col min="3" max="3" width="17.7265625" bestFit="1" customWidth="1"/>
    <col min="4" max="4" width="16.1796875" bestFit="1" customWidth="1"/>
    <col min="5" max="7" width="11.81640625" bestFit="1" customWidth="1"/>
    <col min="8" max="8" width="8.54296875" bestFit="1" customWidth="1"/>
    <col min="9" max="9" width="16.1796875" bestFit="1" customWidth="1"/>
    <col min="10" max="12" width="8.54296875" bestFit="1" customWidth="1"/>
    <col min="13" max="14" width="11.81640625" bestFit="1" customWidth="1"/>
    <col min="15" max="15" width="8.54296875" bestFit="1" customWidth="1"/>
    <col min="16" max="16" width="21.26953125" bestFit="1" customWidth="1"/>
    <col min="17" max="17" width="21.08984375" bestFit="1" customWidth="1"/>
  </cols>
  <sheetData>
    <row r="3" spans="1:4" x14ac:dyDescent="0.35">
      <c r="A3" s="8" t="s">
        <v>124</v>
      </c>
      <c r="B3" t="s">
        <v>129</v>
      </c>
      <c r="C3" t="s">
        <v>130</v>
      </c>
      <c r="D3" t="s">
        <v>142</v>
      </c>
    </row>
    <row r="4" spans="1:4" x14ac:dyDescent="0.35">
      <c r="A4" s="9" t="s">
        <v>94</v>
      </c>
      <c r="B4" s="10">
        <v>4.5</v>
      </c>
      <c r="C4" s="1">
        <v>0.38</v>
      </c>
      <c r="D4" s="10">
        <v>2</v>
      </c>
    </row>
    <row r="5" spans="1:4" x14ac:dyDescent="0.35">
      <c r="A5" s="9" t="s">
        <v>12</v>
      </c>
      <c r="B5" s="10">
        <v>4.7</v>
      </c>
      <c r="C5" s="1">
        <v>0.34</v>
      </c>
      <c r="D5" s="10">
        <v>39</v>
      </c>
    </row>
    <row r="6" spans="1:4" x14ac:dyDescent="0.35">
      <c r="A6" s="9" t="s">
        <v>5</v>
      </c>
      <c r="B6" s="10">
        <v>4.5</v>
      </c>
      <c r="C6" s="1">
        <v>0.38</v>
      </c>
      <c r="D6" s="10">
        <v>2</v>
      </c>
    </row>
    <row r="7" spans="1:4" x14ac:dyDescent="0.35">
      <c r="A7" s="9" t="s">
        <v>25</v>
      </c>
      <c r="B7" s="10">
        <v>3.8</v>
      </c>
      <c r="C7" s="1">
        <v>0.32</v>
      </c>
      <c r="D7" s="10">
        <v>13</v>
      </c>
    </row>
    <row r="8" spans="1:4" x14ac:dyDescent="0.35">
      <c r="A8" s="9" t="s">
        <v>27</v>
      </c>
      <c r="B8" s="10">
        <v>4.7</v>
      </c>
      <c r="C8" s="1">
        <v>0.34</v>
      </c>
      <c r="D8" s="10">
        <v>12</v>
      </c>
    </row>
    <row r="9" spans="1:4" x14ac:dyDescent="0.35">
      <c r="A9" s="9" t="s">
        <v>45</v>
      </c>
      <c r="B9" s="10">
        <v>2.8</v>
      </c>
      <c r="C9" s="1">
        <v>0.49</v>
      </c>
      <c r="D9" s="10">
        <v>69</v>
      </c>
    </row>
    <row r="10" spans="1:4" x14ac:dyDescent="0.35">
      <c r="A10" s="9" t="s">
        <v>10</v>
      </c>
      <c r="B10" s="10">
        <v>3.8</v>
      </c>
      <c r="C10" s="1">
        <v>0.45</v>
      </c>
      <c r="D10" s="10">
        <v>5</v>
      </c>
    </row>
    <row r="11" spans="1:4" x14ac:dyDescent="0.35">
      <c r="A11" s="9" t="s">
        <v>7</v>
      </c>
      <c r="B11" s="10">
        <v>4.5999999999999996</v>
      </c>
      <c r="C11" s="1">
        <v>0.24</v>
      </c>
      <c r="D11" s="10">
        <v>55</v>
      </c>
    </row>
    <row r="12" spans="1:4" x14ac:dyDescent="0.35">
      <c r="A12" s="9" t="s">
        <v>6</v>
      </c>
      <c r="B12" s="10">
        <v>4</v>
      </c>
      <c r="C12" s="1">
        <v>0.09</v>
      </c>
      <c r="D12" s="10">
        <v>15</v>
      </c>
    </row>
    <row r="13" spans="1:4" x14ac:dyDescent="0.35">
      <c r="A13" s="9" t="s">
        <v>102</v>
      </c>
      <c r="B13" s="10">
        <v>3</v>
      </c>
      <c r="C13" s="1">
        <v>0.39</v>
      </c>
      <c r="D13" s="10">
        <v>5</v>
      </c>
    </row>
    <row r="14" spans="1:4" x14ac:dyDescent="0.35">
      <c r="A14" s="9" t="s">
        <v>49</v>
      </c>
      <c r="B14" s="10">
        <v>2.2999999999999998</v>
      </c>
      <c r="C14" s="1">
        <v>0.5</v>
      </c>
      <c r="D14" s="10">
        <v>7</v>
      </c>
    </row>
    <row r="15" spans="1:4" x14ac:dyDescent="0.35">
      <c r="A15" s="9" t="s">
        <v>18</v>
      </c>
      <c r="B15" s="10">
        <v>4.5999999999999996</v>
      </c>
      <c r="C15" s="1">
        <v>0.49</v>
      </c>
      <c r="D15" s="10">
        <v>44</v>
      </c>
    </row>
    <row r="16" spans="1:4" x14ac:dyDescent="0.35">
      <c r="A16" s="9" t="s">
        <v>19</v>
      </c>
      <c r="B16" s="10">
        <v>3.3</v>
      </c>
      <c r="C16" s="1">
        <v>0.53</v>
      </c>
      <c r="D16" s="10">
        <v>13</v>
      </c>
    </row>
    <row r="17" spans="1:4" x14ac:dyDescent="0.35">
      <c r="A17" s="9" t="s">
        <v>13</v>
      </c>
      <c r="B17" s="10">
        <v>4.8</v>
      </c>
      <c r="C17" s="1">
        <v>0.47</v>
      </c>
      <c r="D17" s="10">
        <v>12</v>
      </c>
    </row>
    <row r="18" spans="1:4" x14ac:dyDescent="0.35">
      <c r="A18" s="9" t="s">
        <v>43</v>
      </c>
      <c r="B18" s="10">
        <v>2.5</v>
      </c>
      <c r="C18" s="1">
        <v>0.13</v>
      </c>
      <c r="D18" s="10">
        <v>6</v>
      </c>
    </row>
    <row r="19" spans="1:4" x14ac:dyDescent="0.35">
      <c r="A19" s="9" t="s">
        <v>26</v>
      </c>
      <c r="B19" s="10">
        <v>4.0999999999999996</v>
      </c>
      <c r="C19" s="1">
        <v>0.3</v>
      </c>
      <c r="D19" s="10">
        <v>20</v>
      </c>
    </row>
    <row r="20" spans="1:4" x14ac:dyDescent="0.35">
      <c r="A20" s="9" t="s">
        <v>92</v>
      </c>
      <c r="B20" s="10">
        <v>4.5</v>
      </c>
      <c r="C20" s="1">
        <v>0.27</v>
      </c>
      <c r="D20" s="10">
        <v>32</v>
      </c>
    </row>
    <row r="21" spans="1:4" x14ac:dyDescent="0.35">
      <c r="A21" s="9" t="s">
        <v>91</v>
      </c>
      <c r="B21" s="10">
        <v>4.7</v>
      </c>
      <c r="C21" s="1">
        <v>0.27</v>
      </c>
      <c r="D21" s="10">
        <v>20</v>
      </c>
    </row>
    <row r="22" spans="1:4" x14ac:dyDescent="0.35">
      <c r="A22" s="9" t="s">
        <v>101</v>
      </c>
      <c r="B22" s="10">
        <v>2.1</v>
      </c>
      <c r="C22" s="1">
        <v>0.55000000000000004</v>
      </c>
      <c r="D22" s="10">
        <v>13</v>
      </c>
    </row>
    <row r="23" spans="1:4" x14ac:dyDescent="0.35">
      <c r="A23" s="9" t="s">
        <v>103</v>
      </c>
      <c r="B23" s="10">
        <v>2.2000000000000002</v>
      </c>
      <c r="C23" s="1">
        <v>0.47</v>
      </c>
      <c r="D23" s="10">
        <v>6</v>
      </c>
    </row>
    <row r="24" spans="1:4" x14ac:dyDescent="0.35">
      <c r="A24" s="9" t="s">
        <v>50</v>
      </c>
      <c r="B24" s="10">
        <v>2.6</v>
      </c>
      <c r="C24" s="1">
        <v>0.45</v>
      </c>
      <c r="D24" s="10">
        <v>17</v>
      </c>
    </row>
    <row r="25" spans="1:4" x14ac:dyDescent="0.35">
      <c r="A25" s="9" t="s">
        <v>86</v>
      </c>
      <c r="B25" s="10">
        <v>5</v>
      </c>
      <c r="C25" s="1">
        <v>0.51</v>
      </c>
      <c r="D25" s="10">
        <v>2</v>
      </c>
    </row>
    <row r="26" spans="1:4" x14ac:dyDescent="0.35">
      <c r="A26" s="9" t="s">
        <v>48</v>
      </c>
      <c r="B26" s="10">
        <v>2.2000000000000002</v>
      </c>
      <c r="C26" s="1">
        <v>0.45</v>
      </c>
      <c r="D26" s="10">
        <v>6</v>
      </c>
    </row>
    <row r="27" spans="1:4" x14ac:dyDescent="0.35">
      <c r="A27" s="9" t="s">
        <v>106</v>
      </c>
      <c r="B27" s="10">
        <v>5</v>
      </c>
      <c r="C27" s="1">
        <v>0.49</v>
      </c>
      <c r="D27" s="10">
        <v>1</v>
      </c>
    </row>
    <row r="28" spans="1:4" x14ac:dyDescent="0.35">
      <c r="A28" s="9" t="s">
        <v>29</v>
      </c>
      <c r="B28" s="10">
        <v>5</v>
      </c>
      <c r="C28" s="1">
        <v>0.53</v>
      </c>
      <c r="D28" s="10">
        <v>2</v>
      </c>
    </row>
    <row r="29" spans="1:4" x14ac:dyDescent="0.35">
      <c r="A29" s="9" t="s">
        <v>8</v>
      </c>
      <c r="B29" s="10">
        <v>4</v>
      </c>
      <c r="C29" s="1">
        <v>0.37</v>
      </c>
      <c r="D29" s="10">
        <v>2</v>
      </c>
    </row>
    <row r="30" spans="1:4" x14ac:dyDescent="0.35">
      <c r="A30" s="9" t="s">
        <v>28</v>
      </c>
      <c r="B30" s="10">
        <v>5</v>
      </c>
      <c r="C30" s="1">
        <v>0.4</v>
      </c>
      <c r="D30" s="10">
        <v>1</v>
      </c>
    </row>
    <row r="31" spans="1:4" x14ac:dyDescent="0.35">
      <c r="A31" s="9" t="s">
        <v>104</v>
      </c>
      <c r="B31" s="10">
        <v>2.1</v>
      </c>
      <c r="C31" s="1">
        <v>0.47</v>
      </c>
      <c r="D31" s="10">
        <v>7</v>
      </c>
    </row>
    <row r="32" spans="1:4" x14ac:dyDescent="0.35">
      <c r="A32" s="9" t="s">
        <v>23</v>
      </c>
      <c r="B32" s="10">
        <v>4.5999999999999996</v>
      </c>
      <c r="C32" s="1">
        <v>0.35</v>
      </c>
      <c r="D32" s="10">
        <v>49</v>
      </c>
    </row>
    <row r="33" spans="1:4" x14ac:dyDescent="0.35">
      <c r="A33" s="9" t="s">
        <v>89</v>
      </c>
      <c r="B33" s="10">
        <v>4.3</v>
      </c>
      <c r="C33" s="1">
        <v>0.52</v>
      </c>
      <c r="D33" s="10">
        <v>9</v>
      </c>
    </row>
    <row r="34" spans="1:4" x14ac:dyDescent="0.35">
      <c r="A34" s="9" t="s">
        <v>21</v>
      </c>
      <c r="B34" s="10">
        <v>4.4000000000000004</v>
      </c>
      <c r="C34" s="1">
        <v>0.23</v>
      </c>
      <c r="D34" s="10">
        <v>14</v>
      </c>
    </row>
    <row r="35" spans="1:4" x14ac:dyDescent="0.35">
      <c r="A35" s="9" t="s">
        <v>11</v>
      </c>
      <c r="B35" s="10">
        <v>4.0999999999999996</v>
      </c>
      <c r="C35" s="1">
        <v>0.2</v>
      </c>
      <c r="D35" s="10">
        <v>12</v>
      </c>
    </row>
    <row r="36" spans="1:4" x14ac:dyDescent="0.35">
      <c r="A36" s="9" t="s">
        <v>60</v>
      </c>
      <c r="B36" s="10">
        <v>4</v>
      </c>
      <c r="C36" s="1">
        <v>0.49</v>
      </c>
      <c r="D36" s="10">
        <v>1</v>
      </c>
    </row>
    <row r="37" spans="1:4" x14ac:dyDescent="0.35">
      <c r="A37" s="9" t="s">
        <v>46</v>
      </c>
      <c r="B37" s="10">
        <v>2.7</v>
      </c>
      <c r="C37" s="1">
        <v>0.52</v>
      </c>
      <c r="D37" s="10">
        <v>15</v>
      </c>
    </row>
    <row r="38" spans="1:4" x14ac:dyDescent="0.35">
      <c r="A38" s="9" t="s">
        <v>110</v>
      </c>
      <c r="B38" s="10">
        <v>5</v>
      </c>
      <c r="C38" s="1">
        <v>0.21</v>
      </c>
      <c r="D38" s="10">
        <v>1</v>
      </c>
    </row>
    <row r="39" spans="1:4" x14ac:dyDescent="0.35">
      <c r="A39" s="9" t="s">
        <v>51</v>
      </c>
      <c r="B39" s="10">
        <v>3</v>
      </c>
      <c r="C39" s="1">
        <v>0.28999999999999998</v>
      </c>
      <c r="D39" s="10">
        <v>5</v>
      </c>
    </row>
    <row r="40" spans="1:4" x14ac:dyDescent="0.35">
      <c r="A40" s="9" t="s">
        <v>22</v>
      </c>
      <c r="B40" s="10">
        <v>4.3</v>
      </c>
      <c r="C40" s="1">
        <v>0.54</v>
      </c>
      <c r="D40" s="10">
        <v>7</v>
      </c>
    </row>
    <row r="41" spans="1:4" x14ac:dyDescent="0.35">
      <c r="A41" s="9" t="s">
        <v>87</v>
      </c>
      <c r="B41" s="10">
        <v>5</v>
      </c>
      <c r="C41" s="1">
        <v>0.49</v>
      </c>
      <c r="D41" s="10">
        <v>3</v>
      </c>
    </row>
    <row r="42" spans="1:4" x14ac:dyDescent="0.35">
      <c r="A42" s="9" t="s">
        <v>14</v>
      </c>
      <c r="B42" s="10">
        <v>4.5</v>
      </c>
      <c r="C42" s="1">
        <v>0.42</v>
      </c>
      <c r="D42" s="10">
        <v>6</v>
      </c>
    </row>
    <row r="43" spans="1:4" x14ac:dyDescent="0.35">
      <c r="A43" s="9" t="s">
        <v>9</v>
      </c>
      <c r="B43" s="10">
        <v>4.8</v>
      </c>
      <c r="C43" s="1">
        <v>0.55000000000000004</v>
      </c>
      <c r="D43" s="10">
        <v>5</v>
      </c>
    </row>
    <row r="44" spans="1:4" x14ac:dyDescent="0.35">
      <c r="A44" s="9" t="s">
        <v>90</v>
      </c>
      <c r="B44" s="10">
        <v>4.3</v>
      </c>
      <c r="C44" s="1">
        <v>0.48</v>
      </c>
      <c r="D44" s="10">
        <v>9</v>
      </c>
    </row>
    <row r="45" spans="1:4" x14ac:dyDescent="0.35">
      <c r="A45" s="9" t="s">
        <v>88</v>
      </c>
      <c r="B45" s="10">
        <v>4</v>
      </c>
      <c r="C45" s="1">
        <v>0.35</v>
      </c>
      <c r="D45" s="10">
        <v>6</v>
      </c>
    </row>
    <row r="46" spans="1:4" x14ac:dyDescent="0.35">
      <c r="A46" s="9" t="s">
        <v>17</v>
      </c>
      <c r="B46" s="10">
        <v>4.5999999999999996</v>
      </c>
      <c r="C46" s="1">
        <v>0.19</v>
      </c>
      <c r="D46" s="10">
        <v>5</v>
      </c>
    </row>
    <row r="47" spans="1:4" x14ac:dyDescent="0.35">
      <c r="A47" s="9" t="s">
        <v>105</v>
      </c>
      <c r="B47" s="10">
        <v>3</v>
      </c>
      <c r="C47" s="1">
        <v>0.46</v>
      </c>
      <c r="D47" s="10">
        <v>1</v>
      </c>
    </row>
    <row r="48" spans="1:4" x14ac:dyDescent="0.35">
      <c r="A48" s="9" t="s">
        <v>82</v>
      </c>
      <c r="B48" s="10">
        <v>4.0999999999999996</v>
      </c>
      <c r="C48" s="1">
        <v>0.47</v>
      </c>
      <c r="D48" s="10">
        <v>14</v>
      </c>
    </row>
    <row r="49" spans="1:4" x14ac:dyDescent="0.35">
      <c r="A49" s="9" t="s">
        <v>15</v>
      </c>
      <c r="B49" s="10">
        <v>4.2</v>
      </c>
      <c r="C49" s="1">
        <v>0.33</v>
      </c>
      <c r="D49" s="10">
        <v>9</v>
      </c>
    </row>
    <row r="50" spans="1:4" x14ac:dyDescent="0.35">
      <c r="A50" s="9" t="s">
        <v>44</v>
      </c>
      <c r="B50" s="10">
        <v>3</v>
      </c>
      <c r="C50" s="1">
        <v>0.54</v>
      </c>
      <c r="D50" s="10">
        <v>10</v>
      </c>
    </row>
    <row r="51" spans="1:4" x14ac:dyDescent="0.35">
      <c r="A51" s="9" t="s">
        <v>16</v>
      </c>
      <c r="B51" s="10">
        <v>5</v>
      </c>
      <c r="C51" s="1">
        <v>0.46</v>
      </c>
      <c r="D51" s="10">
        <v>2</v>
      </c>
    </row>
    <row r="52" spans="1:4" x14ac:dyDescent="0.35">
      <c r="A52" s="9" t="s">
        <v>85</v>
      </c>
      <c r="B52" s="10">
        <v>4.8</v>
      </c>
      <c r="C52" s="1">
        <v>0.26</v>
      </c>
      <c r="D52" s="10">
        <v>5</v>
      </c>
    </row>
    <row r="53" spans="1:4" x14ac:dyDescent="0.35">
      <c r="A53" s="9" t="s">
        <v>83</v>
      </c>
      <c r="B53" s="10">
        <v>4.5999999999999996</v>
      </c>
      <c r="C53" s="1">
        <v>0.25</v>
      </c>
      <c r="D53" s="10">
        <v>24</v>
      </c>
    </row>
    <row r="54" spans="1:4" x14ac:dyDescent="0.35">
      <c r="A54" s="9" t="s">
        <v>24</v>
      </c>
      <c r="B54" s="10">
        <v>3.8</v>
      </c>
      <c r="C54" s="1">
        <v>0.18</v>
      </c>
      <c r="D54" s="10">
        <v>12</v>
      </c>
    </row>
    <row r="55" spans="1:4" x14ac:dyDescent="0.35">
      <c r="A55" s="9" t="s">
        <v>93</v>
      </c>
      <c r="B55" s="10">
        <v>4.3</v>
      </c>
      <c r="C55" s="1">
        <v>0.41</v>
      </c>
      <c r="D55" s="10">
        <v>36</v>
      </c>
    </row>
    <row r="56" spans="1:4" x14ac:dyDescent="0.35">
      <c r="A56" s="9" t="s">
        <v>47</v>
      </c>
      <c r="B56" s="10">
        <v>2.9</v>
      </c>
      <c r="C56" s="1">
        <v>0.22</v>
      </c>
      <c r="D56" s="10">
        <v>16</v>
      </c>
    </row>
    <row r="57" spans="1:4" x14ac:dyDescent="0.35">
      <c r="A57" s="9" t="s">
        <v>113</v>
      </c>
      <c r="B57" s="10">
        <v>2</v>
      </c>
      <c r="C57" s="1">
        <v>0.5</v>
      </c>
      <c r="D57" s="10">
        <v>1</v>
      </c>
    </row>
    <row r="58" spans="1:4" x14ac:dyDescent="0.35">
      <c r="A58" s="9" t="s">
        <v>52</v>
      </c>
      <c r="B58" s="10">
        <v>2.2999999999999998</v>
      </c>
      <c r="C58" s="1">
        <v>0.43</v>
      </c>
      <c r="D58" s="10">
        <v>6</v>
      </c>
    </row>
    <row r="59" spans="1:4" x14ac:dyDescent="0.35">
      <c r="A59" s="9" t="s">
        <v>84</v>
      </c>
      <c r="B59" s="10">
        <v>4.7</v>
      </c>
      <c r="C59" s="1">
        <v>0.37</v>
      </c>
      <c r="D59" s="10">
        <v>7</v>
      </c>
    </row>
    <row r="60" spans="1:4" x14ac:dyDescent="0.35">
      <c r="A60" s="9" t="s">
        <v>53</v>
      </c>
      <c r="B60" s="10">
        <v>3</v>
      </c>
      <c r="C60" s="1">
        <v>0.43</v>
      </c>
      <c r="D60" s="10">
        <v>5</v>
      </c>
    </row>
    <row r="61" spans="1:4" x14ac:dyDescent="0.35">
      <c r="A61" s="9" t="s">
        <v>128</v>
      </c>
      <c r="B61" s="10">
        <v>3.8894736842105266</v>
      </c>
      <c r="C61" s="1">
        <v>0.38964912280701758</v>
      </c>
      <c r="D61" s="10">
        <v>12.684210526315789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7BBF-A4B1-4392-9706-7EAEDF7FEE85}">
  <dimension ref="A3:B14"/>
  <sheetViews>
    <sheetView tabSelected="1" workbookViewId="0">
      <selection activeCell="B3" sqref="B3"/>
      <pivotSelection pane="bottomRight" showHeader="1" extendable="1" activeRow="2" activeCol="1" previousRow="2" previousCol="1" click="2" r:id="rId1">
        <pivotArea dataOnly="0" outline="0" axis="axisValues" fieldPosition="0"/>
      </pivotSelection>
    </sheetView>
  </sheetViews>
  <sheetFormatPr defaultRowHeight="14.5" x14ac:dyDescent="0.35"/>
  <cols>
    <col min="1" max="1" width="69.54296875" bestFit="1" customWidth="1"/>
    <col min="2" max="2" width="20" style="1" bestFit="1" customWidth="1"/>
    <col min="3" max="3" width="16.1796875" bestFit="1" customWidth="1"/>
    <col min="4" max="4" width="16.36328125" bestFit="1" customWidth="1"/>
  </cols>
  <sheetData>
    <row r="3" spans="1:2" x14ac:dyDescent="0.35">
      <c r="A3" s="8" t="s">
        <v>124</v>
      </c>
      <c r="B3" s="1" t="s">
        <v>130</v>
      </c>
    </row>
    <row r="4" spans="1:2" x14ac:dyDescent="0.35">
      <c r="A4" s="9" t="s">
        <v>79</v>
      </c>
      <c r="B4" s="1">
        <v>0.64</v>
      </c>
    </row>
    <row r="5" spans="1:2" x14ac:dyDescent="0.35">
      <c r="A5" s="9" t="s">
        <v>9</v>
      </c>
      <c r="B5" s="1">
        <v>0.55000000000000004</v>
      </c>
    </row>
    <row r="6" spans="1:2" x14ac:dyDescent="0.35">
      <c r="A6" s="9" t="s">
        <v>101</v>
      </c>
      <c r="B6" s="1">
        <v>0.55000000000000004</v>
      </c>
    </row>
    <row r="7" spans="1:2" x14ac:dyDescent="0.35">
      <c r="A7" s="9" t="s">
        <v>35</v>
      </c>
      <c r="B7" s="1">
        <v>0.55000000000000004</v>
      </c>
    </row>
    <row r="8" spans="1:2" x14ac:dyDescent="0.35">
      <c r="A8" s="9" t="s">
        <v>22</v>
      </c>
      <c r="B8" s="1">
        <v>0.54</v>
      </c>
    </row>
    <row r="9" spans="1:2" x14ac:dyDescent="0.35">
      <c r="A9" s="9" t="s">
        <v>44</v>
      </c>
      <c r="B9" s="1">
        <v>0.54</v>
      </c>
    </row>
    <row r="10" spans="1:2" x14ac:dyDescent="0.35">
      <c r="A10" s="9" t="s">
        <v>29</v>
      </c>
      <c r="B10" s="1">
        <v>0.53</v>
      </c>
    </row>
    <row r="11" spans="1:2" x14ac:dyDescent="0.35">
      <c r="A11" s="9" t="s">
        <v>19</v>
      </c>
      <c r="B11" s="1">
        <v>0.53</v>
      </c>
    </row>
    <row r="12" spans="1:2" x14ac:dyDescent="0.35">
      <c r="A12" s="9" t="s">
        <v>89</v>
      </c>
      <c r="B12" s="1">
        <v>0.52</v>
      </c>
    </row>
    <row r="13" spans="1:2" x14ac:dyDescent="0.35">
      <c r="A13" s="9" t="s">
        <v>46</v>
      </c>
      <c r="B13" s="1">
        <v>0.52</v>
      </c>
    </row>
    <row r="14" spans="1:2" x14ac:dyDescent="0.35">
      <c r="A14" s="9" t="s">
        <v>128</v>
      </c>
      <c r="B14" s="1">
        <v>0.54727272727272724</v>
      </c>
    </row>
  </sheetData>
  <autoFilter ref="A3:B14" xr:uid="{233D7BBF-A4B1-4392-9706-7EAEDF7FEE85}"/>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A8F4-2C53-43CB-89A4-D954B61C630E}">
  <dimension ref="A3:B17"/>
  <sheetViews>
    <sheetView workbookViewId="0">
      <selection activeCell="A3" sqref="A3"/>
    </sheetView>
  </sheetViews>
  <sheetFormatPr defaultRowHeight="14.5" x14ac:dyDescent="0.35"/>
  <cols>
    <col min="1" max="1" width="64.453125" bestFit="1" customWidth="1"/>
    <col min="2" max="2" width="16.36328125" bestFit="1" customWidth="1"/>
  </cols>
  <sheetData>
    <row r="3" spans="1:2" x14ac:dyDescent="0.35">
      <c r="A3" s="8" t="s">
        <v>124</v>
      </c>
      <c r="B3" t="s">
        <v>129</v>
      </c>
    </row>
    <row r="4" spans="1:2" x14ac:dyDescent="0.35">
      <c r="A4" s="9" t="s">
        <v>29</v>
      </c>
      <c r="B4" s="10">
        <v>5</v>
      </c>
    </row>
    <row r="5" spans="1:2" x14ac:dyDescent="0.35">
      <c r="A5" s="9" t="s">
        <v>87</v>
      </c>
      <c r="B5" s="10">
        <v>5</v>
      </c>
    </row>
    <row r="6" spans="1:2" x14ac:dyDescent="0.35">
      <c r="A6" s="9" t="s">
        <v>110</v>
      </c>
      <c r="B6" s="10">
        <v>5</v>
      </c>
    </row>
    <row r="7" spans="1:2" x14ac:dyDescent="0.35">
      <c r="A7" s="9" t="s">
        <v>86</v>
      </c>
      <c r="B7" s="10">
        <v>5</v>
      </c>
    </row>
    <row r="8" spans="1:2" x14ac:dyDescent="0.35">
      <c r="A8" s="9" t="s">
        <v>16</v>
      </c>
      <c r="B8" s="10">
        <v>5</v>
      </c>
    </row>
    <row r="9" spans="1:2" x14ac:dyDescent="0.35">
      <c r="A9" s="9" t="s">
        <v>106</v>
      </c>
      <c r="B9" s="10">
        <v>5</v>
      </c>
    </row>
    <row r="10" spans="1:2" x14ac:dyDescent="0.35">
      <c r="A10" s="9" t="s">
        <v>28</v>
      </c>
      <c r="B10" s="10">
        <v>5</v>
      </c>
    </row>
    <row r="11" spans="1:2" x14ac:dyDescent="0.35">
      <c r="A11" s="9" t="s">
        <v>9</v>
      </c>
      <c r="B11" s="10">
        <v>4.8</v>
      </c>
    </row>
    <row r="12" spans="1:2" x14ac:dyDescent="0.35">
      <c r="A12" s="9" t="s">
        <v>85</v>
      </c>
      <c r="B12" s="10">
        <v>4.8</v>
      </c>
    </row>
    <row r="13" spans="1:2" x14ac:dyDescent="0.35">
      <c r="A13" s="9" t="s">
        <v>13</v>
      </c>
      <c r="B13" s="10">
        <v>4.8</v>
      </c>
    </row>
    <row r="14" spans="1:2" x14ac:dyDescent="0.35">
      <c r="A14" s="9" t="s">
        <v>128</v>
      </c>
      <c r="B14" s="10">
        <v>4.9399999999999995</v>
      </c>
    </row>
    <row r="17" spans="1:1" x14ac:dyDescent="0.35">
      <c r="A17" s="7"/>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AD5E-4E41-4F39-9ED9-63834BD77021}">
  <dimension ref="A3:B14"/>
  <sheetViews>
    <sheetView topLeftCell="A10" workbookViewId="0">
      <selection activeCell="A4" sqref="A4"/>
    </sheetView>
  </sheetViews>
  <sheetFormatPr defaultRowHeight="14.5" x14ac:dyDescent="0.35"/>
  <cols>
    <col min="1" max="1" width="60.1796875" bestFit="1" customWidth="1"/>
    <col min="2" max="2" width="16.1796875" bestFit="1" customWidth="1"/>
  </cols>
  <sheetData>
    <row r="3" spans="1:2" x14ac:dyDescent="0.35">
      <c r="A3" s="8" t="s">
        <v>124</v>
      </c>
      <c r="B3" t="s">
        <v>142</v>
      </c>
    </row>
    <row r="4" spans="1:2" x14ac:dyDescent="0.35">
      <c r="A4" s="9" t="s">
        <v>45</v>
      </c>
      <c r="B4" s="10">
        <v>69</v>
      </c>
    </row>
    <row r="5" spans="1:2" x14ac:dyDescent="0.35">
      <c r="A5" s="9" t="s">
        <v>7</v>
      </c>
      <c r="B5" s="10">
        <v>55</v>
      </c>
    </row>
    <row r="6" spans="1:2" x14ac:dyDescent="0.35">
      <c r="A6" s="9" t="s">
        <v>23</v>
      </c>
      <c r="B6" s="10">
        <v>49</v>
      </c>
    </row>
    <row r="7" spans="1:2" x14ac:dyDescent="0.35">
      <c r="A7" s="9" t="s">
        <v>18</v>
      </c>
      <c r="B7" s="10">
        <v>44</v>
      </c>
    </row>
    <row r="8" spans="1:2" x14ac:dyDescent="0.35">
      <c r="A8" s="9" t="s">
        <v>12</v>
      </c>
      <c r="B8" s="10">
        <v>39</v>
      </c>
    </row>
    <row r="9" spans="1:2" x14ac:dyDescent="0.35">
      <c r="A9" s="9" t="s">
        <v>93</v>
      </c>
      <c r="B9" s="10">
        <v>36</v>
      </c>
    </row>
    <row r="10" spans="1:2" x14ac:dyDescent="0.35">
      <c r="A10" s="9" t="s">
        <v>92</v>
      </c>
      <c r="B10" s="10">
        <v>32</v>
      </c>
    </row>
    <row r="11" spans="1:2" x14ac:dyDescent="0.35">
      <c r="A11" s="9" t="s">
        <v>83</v>
      </c>
      <c r="B11" s="10">
        <v>24</v>
      </c>
    </row>
    <row r="12" spans="1:2" x14ac:dyDescent="0.35">
      <c r="A12" s="9" t="s">
        <v>91</v>
      </c>
      <c r="B12" s="10">
        <v>20</v>
      </c>
    </row>
    <row r="13" spans="1:2" x14ac:dyDescent="0.35">
      <c r="A13" s="9" t="s">
        <v>26</v>
      </c>
      <c r="B13" s="10">
        <v>20</v>
      </c>
    </row>
    <row r="14" spans="1:2" x14ac:dyDescent="0.35">
      <c r="A14" s="9" t="s">
        <v>128</v>
      </c>
      <c r="B14" s="10">
        <v>38.799999999999997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8DEE-38DE-4DF4-8965-F717FFDBDA4E}">
  <dimension ref="A3:B16"/>
  <sheetViews>
    <sheetView workbookViewId="0">
      <selection activeCell="B5" sqref="B5"/>
    </sheetView>
  </sheetViews>
  <sheetFormatPr defaultRowHeight="14.5" x14ac:dyDescent="0.35"/>
  <cols>
    <col min="1" max="1" width="12.36328125" bestFit="1" customWidth="1"/>
    <col min="2" max="2" width="15.26953125" bestFit="1" customWidth="1"/>
  </cols>
  <sheetData>
    <row r="3" spans="1:2" x14ac:dyDescent="0.35">
      <c r="A3" s="8" t="s">
        <v>124</v>
      </c>
      <c r="B3" t="s">
        <v>143</v>
      </c>
    </row>
    <row r="4" spans="1:2" x14ac:dyDescent="0.35">
      <c r="A4" s="9"/>
      <c r="B4" s="10">
        <v>55</v>
      </c>
    </row>
    <row r="5" spans="1:2" x14ac:dyDescent="0.35">
      <c r="A5" s="9" t="s">
        <v>125</v>
      </c>
      <c r="B5" s="10">
        <v>22</v>
      </c>
    </row>
    <row r="6" spans="1:2" x14ac:dyDescent="0.35">
      <c r="A6" s="9" t="s">
        <v>126</v>
      </c>
      <c r="B6" s="10">
        <v>23</v>
      </c>
    </row>
    <row r="7" spans="1:2" x14ac:dyDescent="0.35">
      <c r="A7" s="9" t="s">
        <v>127</v>
      </c>
      <c r="B7" s="10">
        <v>12</v>
      </c>
    </row>
    <row r="8" spans="1:2" x14ac:dyDescent="0.35">
      <c r="A8" s="9" t="s">
        <v>128</v>
      </c>
      <c r="B8" s="10">
        <v>112</v>
      </c>
    </row>
    <row r="16" spans="1:2" x14ac:dyDescent="0.35">
      <c r="B16" s="10"/>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8F3E-D5D2-418B-9C89-B9C71F2B0735}">
  <dimension ref="A3:B7"/>
  <sheetViews>
    <sheetView workbookViewId="0">
      <selection activeCell="H14" sqref="G14:H14"/>
    </sheetView>
  </sheetViews>
  <sheetFormatPr defaultRowHeight="14.5" x14ac:dyDescent="0.35"/>
  <cols>
    <col min="1" max="1" width="15.6328125" bestFit="1" customWidth="1"/>
    <col min="2" max="2" width="15.26953125" bestFit="1" customWidth="1"/>
  </cols>
  <sheetData>
    <row r="3" spans="1:2" x14ac:dyDescent="0.35">
      <c r="A3" s="8" t="s">
        <v>124</v>
      </c>
      <c r="B3" t="s">
        <v>143</v>
      </c>
    </row>
    <row r="4" spans="1:2" x14ac:dyDescent="0.35">
      <c r="A4" s="9" t="s">
        <v>144</v>
      </c>
      <c r="B4" s="10">
        <v>62</v>
      </c>
    </row>
    <row r="5" spans="1:2" x14ac:dyDescent="0.35">
      <c r="A5" s="9" t="s">
        <v>145</v>
      </c>
      <c r="B5" s="10">
        <v>18</v>
      </c>
    </row>
    <row r="6" spans="1:2" x14ac:dyDescent="0.35">
      <c r="A6" s="9" t="s">
        <v>146</v>
      </c>
      <c r="B6" s="10">
        <v>32</v>
      </c>
    </row>
    <row r="7" spans="1:2" x14ac:dyDescent="0.35">
      <c r="A7" s="9" t="s">
        <v>128</v>
      </c>
      <c r="B7" s="10">
        <v>112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026D-8A8F-456F-B8A4-6DFD56249012}">
  <dimension ref="A1"/>
  <sheetViews>
    <sheetView showGridLines="0" zoomScale="69" zoomScaleNormal="69" workbookViewId="0">
      <selection activeCell="S16" sqref="S16"/>
    </sheetView>
  </sheetViews>
  <sheetFormatPr defaultRowHeight="14.5" x14ac:dyDescent="0.35"/>
  <cols>
    <col min="1" max="16384" width="8.72656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A040-C9AC-4EE1-8F4C-F6B8F0F9C058}">
  <dimension ref="A1:A19"/>
  <sheetViews>
    <sheetView topLeftCell="A3" workbookViewId="0">
      <selection activeCell="K9" sqref="K9"/>
    </sheetView>
  </sheetViews>
  <sheetFormatPr defaultRowHeight="14.5" x14ac:dyDescent="0.35"/>
  <sheetData>
    <row r="1" spans="1:1" x14ac:dyDescent="0.35">
      <c r="A1" t="s">
        <v>157</v>
      </c>
    </row>
    <row r="3" spans="1:1" x14ac:dyDescent="0.35">
      <c r="A3" t="s">
        <v>156</v>
      </c>
    </row>
    <row r="5" spans="1:1" x14ac:dyDescent="0.35">
      <c r="A5" t="s">
        <v>152</v>
      </c>
    </row>
    <row r="6" spans="1:1" x14ac:dyDescent="0.35">
      <c r="A6" s="14" t="s">
        <v>147</v>
      </c>
    </row>
    <row r="7" spans="1:1" x14ac:dyDescent="0.35">
      <c r="A7" s="15"/>
    </row>
    <row r="8" spans="1:1" x14ac:dyDescent="0.35">
      <c r="A8" s="14" t="s">
        <v>148</v>
      </c>
    </row>
    <row r="9" spans="1:1" x14ac:dyDescent="0.35">
      <c r="A9" s="15"/>
    </row>
    <row r="10" spans="1:1" x14ac:dyDescent="0.35">
      <c r="A10" s="14" t="s">
        <v>149</v>
      </c>
    </row>
    <row r="11" spans="1:1" x14ac:dyDescent="0.35">
      <c r="A11" s="15"/>
    </row>
    <row r="12" spans="1:1" x14ac:dyDescent="0.35">
      <c r="A12" s="14" t="s">
        <v>150</v>
      </c>
    </row>
    <row r="13" spans="1:1" x14ac:dyDescent="0.35">
      <c r="A13" s="15"/>
    </row>
    <row r="14" spans="1:1" x14ac:dyDescent="0.35">
      <c r="A14" s="14" t="s">
        <v>151</v>
      </c>
    </row>
    <row r="17" spans="1:1" x14ac:dyDescent="0.35">
      <c r="A17" t="s">
        <v>153</v>
      </c>
    </row>
    <row r="18" spans="1:1" x14ac:dyDescent="0.35">
      <c r="A18" t="s">
        <v>154</v>
      </c>
    </row>
    <row r="19" spans="1:1" x14ac:dyDescent="0.35">
      <c r="A19" t="s">
        <v>155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ACE4-D196-424A-B7B4-5E2DF8E17702}">
  <dimension ref="A1:I123"/>
  <sheetViews>
    <sheetView topLeftCell="C1" workbookViewId="0">
      <pane ySplit="1" topLeftCell="A97" activePane="bottomLeft" state="frozen"/>
      <selection pane="bottomLeft" activeCell="A4" sqref="A4"/>
    </sheetView>
  </sheetViews>
  <sheetFormatPr defaultRowHeight="14.5" x14ac:dyDescent="0.35"/>
  <cols>
    <col min="1" max="1" width="89.1796875" bestFit="1" customWidth="1"/>
    <col min="2" max="3" width="18.36328125" style="3" bestFit="1" customWidth="1"/>
    <col min="4" max="4" width="18.36328125" style="3" customWidth="1"/>
    <col min="5" max="5" width="15.36328125" bestFit="1" customWidth="1"/>
    <col min="6" max="6" width="8.7265625" style="3"/>
    <col min="7" max="7" width="12.90625" bestFit="1" customWidth="1"/>
    <col min="8" max="8" width="13.6328125" bestFit="1" customWidth="1"/>
    <col min="9" max="9" width="25.453125" bestFit="1" customWidth="1"/>
  </cols>
  <sheetData>
    <row r="1" spans="1:9" x14ac:dyDescent="0.35">
      <c r="A1" t="s">
        <v>0</v>
      </c>
      <c r="B1" s="3" t="s">
        <v>1</v>
      </c>
      <c r="C1" s="3" t="s">
        <v>2</v>
      </c>
      <c r="D1" s="3" t="s">
        <v>115</v>
      </c>
      <c r="E1" t="s">
        <v>3</v>
      </c>
      <c r="F1" s="3" t="s">
        <v>4</v>
      </c>
      <c r="G1" t="s">
        <v>81</v>
      </c>
      <c r="H1" s="3" t="s">
        <v>116</v>
      </c>
      <c r="I1" t="s">
        <v>117</v>
      </c>
    </row>
    <row r="2" spans="1:9" x14ac:dyDescent="0.35">
      <c r="A2" t="s">
        <v>5</v>
      </c>
      <c r="B2" s="3">
        <v>950</v>
      </c>
      <c r="C2" s="3">
        <v>1525</v>
      </c>
      <c r="D2" s="3">
        <f>C2-B2</f>
        <v>575</v>
      </c>
      <c r="E2" s="1">
        <v>0.38</v>
      </c>
      <c r="F2" s="3">
        <v>2</v>
      </c>
      <c r="G2">
        <v>4.5</v>
      </c>
      <c r="H2" t="str">
        <f>IF(G2 ="","",IF(G2&lt; 3,"Poor",IF(G2&lt;4.5,"Average","Excellent")))</f>
        <v>Excellent</v>
      </c>
      <c r="I2" t="str">
        <f>IF(E2&lt;20%,"Low Discount",IF(E2&lt;=40%,"Medium Discount"," High Discount"))</f>
        <v>Medium Discount</v>
      </c>
    </row>
    <row r="3" spans="1:9" x14ac:dyDescent="0.35">
      <c r="A3" t="s">
        <v>82</v>
      </c>
      <c r="B3" s="3">
        <v>527</v>
      </c>
      <c r="C3" s="3">
        <v>999</v>
      </c>
      <c r="D3" s="3">
        <f t="shared" ref="D3:D66" si="0">C3-B3</f>
        <v>472</v>
      </c>
      <c r="E3" s="1">
        <v>0.47</v>
      </c>
      <c r="F3" s="3">
        <v>14</v>
      </c>
      <c r="G3">
        <v>4.0999999999999996</v>
      </c>
      <c r="H3" t="str">
        <f t="shared" ref="H3:H66" si="1">IF(G3 ="","",IF(G3&lt; 3,"Poor",IF(G3&lt;4.5,"Average","Excellent")))</f>
        <v>Average</v>
      </c>
      <c r="I3" t="str">
        <f t="shared" ref="I3:I66" si="2">IF(E3&lt;20%,"Low Discount",IF(E3&lt;=40%,"Medium Discount"," High Discount"))</f>
        <v xml:space="preserve"> High Discount</v>
      </c>
    </row>
    <row r="4" spans="1:9" x14ac:dyDescent="0.35">
      <c r="A4" t="s">
        <v>83</v>
      </c>
      <c r="B4" s="3">
        <v>2199</v>
      </c>
      <c r="C4" s="3">
        <v>2923</v>
      </c>
      <c r="D4" s="3">
        <f t="shared" si="0"/>
        <v>724</v>
      </c>
      <c r="E4" s="1">
        <v>0.25</v>
      </c>
      <c r="F4" s="3">
        <v>24</v>
      </c>
      <c r="G4">
        <v>4.5999999999999996</v>
      </c>
      <c r="H4" t="str">
        <f t="shared" si="1"/>
        <v>Excellent</v>
      </c>
      <c r="I4" t="str">
        <f t="shared" si="2"/>
        <v>Medium Discount</v>
      </c>
    </row>
    <row r="5" spans="1:9" x14ac:dyDescent="0.35">
      <c r="A5" t="s">
        <v>84</v>
      </c>
      <c r="B5" s="3">
        <v>1580</v>
      </c>
      <c r="C5" s="3">
        <v>2499</v>
      </c>
      <c r="D5" s="3">
        <f t="shared" si="0"/>
        <v>919</v>
      </c>
      <c r="E5" s="1">
        <v>0.37</v>
      </c>
      <c r="F5" s="3">
        <v>7</v>
      </c>
      <c r="G5">
        <v>4.7</v>
      </c>
      <c r="H5" t="str">
        <f t="shared" si="1"/>
        <v>Excellent</v>
      </c>
      <c r="I5" t="str">
        <f t="shared" si="2"/>
        <v>Medium Discount</v>
      </c>
    </row>
    <row r="6" spans="1:9" x14ac:dyDescent="0.35">
      <c r="A6" t="s">
        <v>85</v>
      </c>
      <c r="B6" s="3">
        <v>1740</v>
      </c>
      <c r="C6" s="3">
        <v>2356</v>
      </c>
      <c r="D6" s="3">
        <f t="shared" si="0"/>
        <v>616</v>
      </c>
      <c r="E6" s="1">
        <v>0.26</v>
      </c>
      <c r="F6" s="3">
        <v>5</v>
      </c>
      <c r="G6">
        <v>4.8</v>
      </c>
      <c r="H6" t="str">
        <f t="shared" si="1"/>
        <v>Excellent</v>
      </c>
      <c r="I6" t="str">
        <f t="shared" si="2"/>
        <v>Medium Discount</v>
      </c>
    </row>
    <row r="7" spans="1:9" x14ac:dyDescent="0.35">
      <c r="A7" t="s">
        <v>6</v>
      </c>
      <c r="B7" s="3">
        <v>2999</v>
      </c>
      <c r="C7" s="3">
        <v>3290</v>
      </c>
      <c r="D7" s="3">
        <f t="shared" si="0"/>
        <v>291</v>
      </c>
      <c r="E7" s="1">
        <v>0.09</v>
      </c>
      <c r="F7" s="3">
        <v>15</v>
      </c>
      <c r="G7">
        <v>4</v>
      </c>
      <c r="H7" t="str">
        <f t="shared" si="1"/>
        <v>Average</v>
      </c>
      <c r="I7" t="str">
        <f t="shared" si="2"/>
        <v>Low Discount</v>
      </c>
    </row>
    <row r="8" spans="1:9" x14ac:dyDescent="0.35">
      <c r="A8" t="s">
        <v>7</v>
      </c>
      <c r="B8" s="3">
        <v>2319</v>
      </c>
      <c r="C8" s="3">
        <v>3032</v>
      </c>
      <c r="D8" s="3">
        <f t="shared" si="0"/>
        <v>713</v>
      </c>
      <c r="E8" s="1">
        <v>0.24</v>
      </c>
      <c r="F8" s="3">
        <v>55</v>
      </c>
      <c r="G8">
        <v>4.5999999999999996</v>
      </c>
      <c r="H8" t="str">
        <f t="shared" si="1"/>
        <v>Excellent</v>
      </c>
      <c r="I8" t="str">
        <f t="shared" si="2"/>
        <v>Medium Discount</v>
      </c>
    </row>
    <row r="9" spans="1:9" x14ac:dyDescent="0.35">
      <c r="A9" t="s">
        <v>8</v>
      </c>
      <c r="B9" s="3">
        <v>988</v>
      </c>
      <c r="C9" s="3">
        <v>1580</v>
      </c>
      <c r="D9" s="3">
        <f t="shared" si="0"/>
        <v>592</v>
      </c>
      <c r="E9" s="1">
        <v>0.37</v>
      </c>
      <c r="F9" s="3">
        <v>2</v>
      </c>
      <c r="G9">
        <v>4</v>
      </c>
      <c r="H9" t="str">
        <f t="shared" si="1"/>
        <v>Average</v>
      </c>
      <c r="I9" t="str">
        <f t="shared" si="2"/>
        <v>Medium Discount</v>
      </c>
    </row>
    <row r="10" spans="1:9" x14ac:dyDescent="0.35">
      <c r="A10" t="s">
        <v>9</v>
      </c>
      <c r="B10" s="3">
        <v>1274</v>
      </c>
      <c r="C10" s="3">
        <v>2800</v>
      </c>
      <c r="D10" s="3">
        <f t="shared" si="0"/>
        <v>1526</v>
      </c>
      <c r="E10" s="1">
        <v>0.55000000000000004</v>
      </c>
      <c r="F10" s="3">
        <v>5</v>
      </c>
      <c r="G10">
        <v>4.8</v>
      </c>
      <c r="H10" t="str">
        <f t="shared" si="1"/>
        <v>Excellent</v>
      </c>
      <c r="I10" t="str">
        <f t="shared" si="2"/>
        <v xml:space="preserve"> High Discount</v>
      </c>
    </row>
    <row r="11" spans="1:9" x14ac:dyDescent="0.35">
      <c r="A11" t="s">
        <v>10</v>
      </c>
      <c r="B11" s="3">
        <v>1600</v>
      </c>
      <c r="C11" s="3">
        <v>2929</v>
      </c>
      <c r="D11" s="3">
        <f t="shared" si="0"/>
        <v>1329</v>
      </c>
      <c r="E11" s="1">
        <v>0.45</v>
      </c>
      <c r="F11" s="3">
        <v>5</v>
      </c>
      <c r="G11">
        <v>3.8</v>
      </c>
      <c r="H11" t="str">
        <f t="shared" si="1"/>
        <v>Average</v>
      </c>
      <c r="I11" t="str">
        <f t="shared" si="2"/>
        <v xml:space="preserve"> High Discount</v>
      </c>
    </row>
    <row r="12" spans="1:9" x14ac:dyDescent="0.35">
      <c r="A12" t="s">
        <v>11</v>
      </c>
      <c r="B12" s="3">
        <v>799</v>
      </c>
      <c r="C12" s="3">
        <v>999</v>
      </c>
      <c r="D12" s="3">
        <f t="shared" si="0"/>
        <v>200</v>
      </c>
      <c r="E12" s="1">
        <v>0.2</v>
      </c>
      <c r="F12" s="3">
        <v>12</v>
      </c>
      <c r="G12">
        <v>4.0999999999999996</v>
      </c>
      <c r="H12" t="str">
        <f t="shared" si="1"/>
        <v>Average</v>
      </c>
      <c r="I12" t="str">
        <f t="shared" si="2"/>
        <v>Medium Discount</v>
      </c>
    </row>
    <row r="13" spans="1:9" x14ac:dyDescent="0.35">
      <c r="A13" t="s">
        <v>12</v>
      </c>
      <c r="B13" s="3">
        <v>990</v>
      </c>
      <c r="C13" s="3">
        <v>1500</v>
      </c>
      <c r="D13" s="3">
        <f t="shared" si="0"/>
        <v>510</v>
      </c>
      <c r="E13" s="1">
        <v>0.34</v>
      </c>
      <c r="F13" s="3">
        <v>39</v>
      </c>
      <c r="G13">
        <v>4.7</v>
      </c>
      <c r="H13" t="str">
        <f t="shared" si="1"/>
        <v>Excellent</v>
      </c>
      <c r="I13" t="str">
        <f t="shared" si="2"/>
        <v>Medium Discount</v>
      </c>
    </row>
    <row r="14" spans="1:9" x14ac:dyDescent="0.35">
      <c r="A14" t="s">
        <v>13</v>
      </c>
      <c r="B14" s="3">
        <v>552</v>
      </c>
      <c r="C14" s="3">
        <v>1035</v>
      </c>
      <c r="D14" s="3">
        <f t="shared" si="0"/>
        <v>483</v>
      </c>
      <c r="E14" s="1">
        <v>0.47</v>
      </c>
      <c r="F14" s="3">
        <v>12</v>
      </c>
      <c r="G14">
        <v>4.8</v>
      </c>
      <c r="H14" t="str">
        <f t="shared" si="1"/>
        <v>Excellent</v>
      </c>
      <c r="I14" t="str">
        <f t="shared" si="2"/>
        <v xml:space="preserve"> High Discount</v>
      </c>
    </row>
    <row r="15" spans="1:9" x14ac:dyDescent="0.35">
      <c r="A15" t="s">
        <v>14</v>
      </c>
      <c r="B15" s="3">
        <v>501</v>
      </c>
      <c r="C15" s="3">
        <v>860</v>
      </c>
      <c r="D15" s="3">
        <f t="shared" si="0"/>
        <v>359</v>
      </c>
      <c r="E15" s="1">
        <v>0.42</v>
      </c>
      <c r="F15" s="3">
        <v>6</v>
      </c>
      <c r="G15">
        <v>4.5</v>
      </c>
      <c r="H15" t="str">
        <f t="shared" si="1"/>
        <v>Excellent</v>
      </c>
      <c r="I15" t="str">
        <f t="shared" si="2"/>
        <v xml:space="preserve"> High Discount</v>
      </c>
    </row>
    <row r="16" spans="1:9" x14ac:dyDescent="0.35">
      <c r="A16" t="s">
        <v>15</v>
      </c>
      <c r="B16" s="3">
        <v>1680</v>
      </c>
      <c r="C16" s="3">
        <v>2499</v>
      </c>
      <c r="D16" s="3">
        <f t="shared" si="0"/>
        <v>819</v>
      </c>
      <c r="E16" s="1">
        <v>0.33</v>
      </c>
      <c r="F16" s="3">
        <v>9</v>
      </c>
      <c r="G16">
        <v>4.2</v>
      </c>
      <c r="H16" t="str">
        <f t="shared" si="1"/>
        <v>Average</v>
      </c>
      <c r="I16" t="str">
        <f t="shared" si="2"/>
        <v>Medium Discount</v>
      </c>
    </row>
    <row r="17" spans="1:9" x14ac:dyDescent="0.35">
      <c r="A17" t="s">
        <v>86</v>
      </c>
      <c r="B17" s="3">
        <v>332</v>
      </c>
      <c r="C17" s="3">
        <v>684</v>
      </c>
      <c r="D17" s="3">
        <f t="shared" si="0"/>
        <v>352</v>
      </c>
      <c r="E17" s="1">
        <v>0.51</v>
      </c>
      <c r="F17" s="3">
        <v>2</v>
      </c>
      <c r="G17">
        <v>5</v>
      </c>
      <c r="H17" t="str">
        <f t="shared" si="1"/>
        <v>Excellent</v>
      </c>
      <c r="I17" t="str">
        <f t="shared" si="2"/>
        <v xml:space="preserve"> High Discount</v>
      </c>
    </row>
    <row r="18" spans="1:9" x14ac:dyDescent="0.35">
      <c r="A18" t="s">
        <v>16</v>
      </c>
      <c r="B18" s="3">
        <v>195</v>
      </c>
      <c r="C18" s="3">
        <v>360</v>
      </c>
      <c r="D18" s="3">
        <f t="shared" si="0"/>
        <v>165</v>
      </c>
      <c r="E18" s="1">
        <v>0.46</v>
      </c>
      <c r="F18" s="3">
        <v>2</v>
      </c>
      <c r="G18">
        <v>5</v>
      </c>
      <c r="H18" t="str">
        <f t="shared" si="1"/>
        <v>Excellent</v>
      </c>
      <c r="I18" t="str">
        <f t="shared" si="2"/>
        <v xml:space="preserve"> High Discount</v>
      </c>
    </row>
    <row r="19" spans="1:9" x14ac:dyDescent="0.35">
      <c r="A19" t="s">
        <v>87</v>
      </c>
      <c r="B19" s="3">
        <v>2025</v>
      </c>
      <c r="C19" s="3">
        <v>3971</v>
      </c>
      <c r="D19" s="3">
        <f t="shared" si="0"/>
        <v>1946</v>
      </c>
      <c r="E19" s="1">
        <v>0.49</v>
      </c>
      <c r="F19" s="3">
        <v>3</v>
      </c>
      <c r="G19">
        <v>5</v>
      </c>
      <c r="H19" t="str">
        <f t="shared" si="1"/>
        <v>Excellent</v>
      </c>
      <c r="I19" t="str">
        <f t="shared" si="2"/>
        <v xml:space="preserve"> High Discount</v>
      </c>
    </row>
    <row r="20" spans="1:9" x14ac:dyDescent="0.35">
      <c r="A20" t="s">
        <v>17</v>
      </c>
      <c r="B20" s="3">
        <v>2999</v>
      </c>
      <c r="C20" s="3">
        <v>3699</v>
      </c>
      <c r="D20" s="3">
        <f t="shared" si="0"/>
        <v>700</v>
      </c>
      <c r="E20" s="1">
        <v>0.19</v>
      </c>
      <c r="F20" s="3">
        <v>5</v>
      </c>
      <c r="G20">
        <v>4.5999999999999996</v>
      </c>
      <c r="H20" t="str">
        <f t="shared" si="1"/>
        <v>Excellent</v>
      </c>
      <c r="I20" t="str">
        <f t="shared" si="2"/>
        <v>Low Discount</v>
      </c>
    </row>
    <row r="21" spans="1:9" x14ac:dyDescent="0.35">
      <c r="A21" t="s">
        <v>18</v>
      </c>
      <c r="B21" s="3">
        <v>998</v>
      </c>
      <c r="C21" s="3">
        <v>1966</v>
      </c>
      <c r="D21" s="3">
        <f t="shared" si="0"/>
        <v>968</v>
      </c>
      <c r="E21" s="1">
        <v>0.49</v>
      </c>
      <c r="F21" s="3">
        <v>44</v>
      </c>
      <c r="G21">
        <v>4.5999999999999996</v>
      </c>
      <c r="H21" t="str">
        <f t="shared" si="1"/>
        <v>Excellent</v>
      </c>
      <c r="I21" t="str">
        <f t="shared" si="2"/>
        <v xml:space="preserve"> High Discount</v>
      </c>
    </row>
    <row r="22" spans="1:9" x14ac:dyDescent="0.35">
      <c r="A22" t="s">
        <v>19</v>
      </c>
      <c r="B22" s="3">
        <v>38</v>
      </c>
      <c r="C22" s="3">
        <v>80</v>
      </c>
      <c r="D22" s="3">
        <f t="shared" si="0"/>
        <v>42</v>
      </c>
      <c r="E22" s="1">
        <v>0.53</v>
      </c>
      <c r="F22" s="3">
        <v>13</v>
      </c>
      <c r="G22">
        <v>3.3</v>
      </c>
      <c r="H22" t="str">
        <f t="shared" si="1"/>
        <v>Average</v>
      </c>
      <c r="I22" t="str">
        <f t="shared" si="2"/>
        <v xml:space="preserve"> High Discount</v>
      </c>
    </row>
    <row r="23" spans="1:9" x14ac:dyDescent="0.35">
      <c r="A23" t="s">
        <v>20</v>
      </c>
      <c r="B23" s="3">
        <v>1860</v>
      </c>
      <c r="C23" s="3">
        <v>3220</v>
      </c>
      <c r="D23" s="3">
        <f t="shared" si="0"/>
        <v>1360</v>
      </c>
      <c r="E23" s="1">
        <v>0.42</v>
      </c>
      <c r="H23" t="str">
        <f t="shared" si="1"/>
        <v/>
      </c>
      <c r="I23" t="str">
        <f t="shared" si="2"/>
        <v xml:space="preserve"> High Discount</v>
      </c>
    </row>
    <row r="24" spans="1:9" x14ac:dyDescent="0.35">
      <c r="A24" t="s">
        <v>88</v>
      </c>
      <c r="B24" s="3">
        <v>880</v>
      </c>
      <c r="C24" s="3">
        <v>1350</v>
      </c>
      <c r="D24" s="3">
        <f t="shared" si="0"/>
        <v>470</v>
      </c>
      <c r="E24" s="1">
        <v>0.35</v>
      </c>
      <c r="F24" s="3">
        <v>6</v>
      </c>
      <c r="G24">
        <v>4</v>
      </c>
      <c r="H24" t="str">
        <f t="shared" si="1"/>
        <v>Average</v>
      </c>
      <c r="I24" t="str">
        <f t="shared" si="2"/>
        <v>Medium Discount</v>
      </c>
    </row>
    <row r="25" spans="1:9" x14ac:dyDescent="0.35">
      <c r="A25" t="s">
        <v>21</v>
      </c>
      <c r="B25" s="3">
        <v>1650</v>
      </c>
      <c r="C25" s="3">
        <v>2150</v>
      </c>
      <c r="D25" s="3">
        <f t="shared" si="0"/>
        <v>500</v>
      </c>
      <c r="E25" s="1">
        <v>0.23</v>
      </c>
      <c r="F25" s="3">
        <v>14</v>
      </c>
      <c r="G25">
        <v>4.4000000000000004</v>
      </c>
      <c r="H25" t="str">
        <f t="shared" si="1"/>
        <v>Average</v>
      </c>
      <c r="I25" t="str">
        <f t="shared" si="2"/>
        <v>Medium Discount</v>
      </c>
    </row>
    <row r="26" spans="1:9" x14ac:dyDescent="0.35">
      <c r="A26" t="s">
        <v>22</v>
      </c>
      <c r="B26" s="3">
        <v>2048</v>
      </c>
      <c r="C26" s="3">
        <v>4500</v>
      </c>
      <c r="D26" s="3">
        <f t="shared" si="0"/>
        <v>2452</v>
      </c>
      <c r="E26" s="1">
        <v>0.54</v>
      </c>
      <c r="F26" s="3">
        <v>7</v>
      </c>
      <c r="G26">
        <v>4.3</v>
      </c>
      <c r="H26" t="str">
        <f t="shared" si="1"/>
        <v>Average</v>
      </c>
      <c r="I26" t="str">
        <f t="shared" si="2"/>
        <v xml:space="preserve"> High Discount</v>
      </c>
    </row>
    <row r="27" spans="1:9" x14ac:dyDescent="0.35">
      <c r="A27" t="s">
        <v>23</v>
      </c>
      <c r="B27" s="3">
        <v>420</v>
      </c>
      <c r="C27" s="3">
        <v>647</v>
      </c>
      <c r="D27" s="3">
        <f t="shared" si="0"/>
        <v>227</v>
      </c>
      <c r="E27" s="1">
        <v>0.35</v>
      </c>
      <c r="F27" s="3">
        <v>49</v>
      </c>
      <c r="G27">
        <v>4.5999999999999996</v>
      </c>
      <c r="H27" t="str">
        <f t="shared" si="1"/>
        <v>Excellent</v>
      </c>
      <c r="I27" t="str">
        <f t="shared" si="2"/>
        <v>Medium Discount</v>
      </c>
    </row>
    <row r="28" spans="1:9" x14ac:dyDescent="0.35">
      <c r="A28" t="s">
        <v>24</v>
      </c>
      <c r="B28" s="3">
        <v>2880</v>
      </c>
      <c r="C28" s="3">
        <v>3520</v>
      </c>
      <c r="D28" s="3">
        <f t="shared" si="0"/>
        <v>640</v>
      </c>
      <c r="E28" s="1">
        <v>0.18</v>
      </c>
      <c r="F28" s="3">
        <v>12</v>
      </c>
      <c r="G28">
        <v>3.8</v>
      </c>
      <c r="H28" t="str">
        <f t="shared" si="1"/>
        <v>Average</v>
      </c>
      <c r="I28" t="str">
        <f t="shared" si="2"/>
        <v>Low Discount</v>
      </c>
    </row>
    <row r="29" spans="1:9" x14ac:dyDescent="0.35">
      <c r="A29" t="s">
        <v>25</v>
      </c>
      <c r="B29" s="3">
        <v>1350</v>
      </c>
      <c r="C29" s="3">
        <v>1990</v>
      </c>
      <c r="D29" s="3">
        <f t="shared" si="0"/>
        <v>640</v>
      </c>
      <c r="E29" s="1">
        <v>0.32</v>
      </c>
      <c r="F29" s="3">
        <v>13</v>
      </c>
      <c r="G29">
        <v>3.8</v>
      </c>
      <c r="H29" t="str">
        <f t="shared" si="1"/>
        <v>Average</v>
      </c>
      <c r="I29" t="str">
        <f t="shared" si="2"/>
        <v>Medium Discount</v>
      </c>
    </row>
    <row r="30" spans="1:9" x14ac:dyDescent="0.35">
      <c r="A30" t="s">
        <v>26</v>
      </c>
      <c r="B30" s="3">
        <v>1758</v>
      </c>
      <c r="C30" s="3">
        <v>2499</v>
      </c>
      <c r="D30" s="3">
        <f t="shared" si="0"/>
        <v>741</v>
      </c>
      <c r="E30" s="1">
        <v>0.3</v>
      </c>
      <c r="F30" s="3">
        <v>20</v>
      </c>
      <c r="G30">
        <v>4.0999999999999996</v>
      </c>
      <c r="H30" t="str">
        <f t="shared" si="1"/>
        <v>Average</v>
      </c>
      <c r="I30" t="str">
        <f t="shared" si="2"/>
        <v>Medium Discount</v>
      </c>
    </row>
    <row r="31" spans="1:9" x14ac:dyDescent="0.35">
      <c r="A31" t="s">
        <v>114</v>
      </c>
      <c r="B31" s="3">
        <v>2200</v>
      </c>
      <c r="C31" s="3">
        <v>4080</v>
      </c>
      <c r="D31" s="3">
        <f t="shared" si="0"/>
        <v>1880</v>
      </c>
      <c r="E31" s="1">
        <v>0.46</v>
      </c>
      <c r="H31" t="str">
        <f t="shared" si="1"/>
        <v/>
      </c>
      <c r="I31" t="str">
        <f t="shared" si="2"/>
        <v xml:space="preserve"> High Discount</v>
      </c>
    </row>
    <row r="32" spans="1:9" x14ac:dyDescent="0.35">
      <c r="A32" t="s">
        <v>89</v>
      </c>
      <c r="B32" s="3">
        <v>185</v>
      </c>
      <c r="C32" s="3">
        <v>382</v>
      </c>
      <c r="D32" s="3">
        <f t="shared" si="0"/>
        <v>197</v>
      </c>
      <c r="E32" s="1">
        <v>0.52</v>
      </c>
      <c r="F32" s="3">
        <v>9</v>
      </c>
      <c r="G32">
        <v>4.3</v>
      </c>
      <c r="H32" t="str">
        <f t="shared" si="1"/>
        <v>Average</v>
      </c>
      <c r="I32" t="str">
        <f t="shared" si="2"/>
        <v xml:space="preserve"> High Discount</v>
      </c>
    </row>
    <row r="33" spans="1:9" x14ac:dyDescent="0.35">
      <c r="A33" t="s">
        <v>27</v>
      </c>
      <c r="B33" s="3">
        <v>980</v>
      </c>
      <c r="C33" s="3">
        <v>1490</v>
      </c>
      <c r="D33" s="3">
        <f t="shared" si="0"/>
        <v>510</v>
      </c>
      <c r="E33" s="1">
        <v>0.34</v>
      </c>
      <c r="F33" s="3">
        <v>12</v>
      </c>
      <c r="G33">
        <v>4.7</v>
      </c>
      <c r="H33" t="str">
        <f t="shared" si="1"/>
        <v>Excellent</v>
      </c>
      <c r="I33" t="str">
        <f t="shared" si="2"/>
        <v>Medium Discount</v>
      </c>
    </row>
    <row r="34" spans="1:9" x14ac:dyDescent="0.35">
      <c r="A34" t="s">
        <v>90</v>
      </c>
      <c r="B34" s="3">
        <v>1820</v>
      </c>
      <c r="C34" s="3">
        <v>3490</v>
      </c>
      <c r="D34" s="3">
        <f t="shared" si="0"/>
        <v>1670</v>
      </c>
      <c r="E34" s="1">
        <v>0.48</v>
      </c>
      <c r="F34" s="3">
        <v>9</v>
      </c>
      <c r="G34">
        <v>4.3</v>
      </c>
      <c r="H34" t="str">
        <f t="shared" si="1"/>
        <v>Average</v>
      </c>
      <c r="I34" t="str">
        <f t="shared" si="2"/>
        <v xml:space="preserve"> High Discount</v>
      </c>
    </row>
    <row r="35" spans="1:9" x14ac:dyDescent="0.35">
      <c r="A35" t="s">
        <v>91</v>
      </c>
      <c r="B35" s="3">
        <v>1940</v>
      </c>
      <c r="C35" s="3">
        <v>2650</v>
      </c>
      <c r="D35" s="3">
        <f t="shared" si="0"/>
        <v>710</v>
      </c>
      <c r="E35" s="1">
        <v>0.27</v>
      </c>
      <c r="F35" s="3">
        <v>20</v>
      </c>
      <c r="G35">
        <v>4.7</v>
      </c>
      <c r="H35" t="str">
        <f t="shared" si="1"/>
        <v>Excellent</v>
      </c>
      <c r="I35" t="str">
        <f t="shared" si="2"/>
        <v>Medium Discount</v>
      </c>
    </row>
    <row r="36" spans="1:9" x14ac:dyDescent="0.35">
      <c r="A36" t="s">
        <v>92</v>
      </c>
      <c r="B36" s="3">
        <v>1980</v>
      </c>
      <c r="C36" s="3">
        <v>2699</v>
      </c>
      <c r="D36" s="3">
        <f t="shared" si="0"/>
        <v>719</v>
      </c>
      <c r="E36" s="1">
        <v>0.27</v>
      </c>
      <c r="F36" s="3">
        <v>32</v>
      </c>
      <c r="G36">
        <v>4.5</v>
      </c>
      <c r="H36" t="str">
        <f t="shared" si="1"/>
        <v>Excellent</v>
      </c>
      <c r="I36" t="str">
        <f t="shared" si="2"/>
        <v>Medium Discount</v>
      </c>
    </row>
    <row r="37" spans="1:9" x14ac:dyDescent="0.35">
      <c r="A37" t="s">
        <v>28</v>
      </c>
      <c r="B37" s="3">
        <v>1620</v>
      </c>
      <c r="C37" s="3">
        <v>2690</v>
      </c>
      <c r="D37" s="3">
        <f t="shared" si="0"/>
        <v>1070</v>
      </c>
      <c r="E37" s="1">
        <v>0.4</v>
      </c>
      <c r="F37" s="3">
        <v>1</v>
      </c>
      <c r="G37">
        <v>5</v>
      </c>
      <c r="H37" t="str">
        <f t="shared" si="1"/>
        <v>Excellent</v>
      </c>
      <c r="I37" t="str">
        <f t="shared" si="2"/>
        <v>Medium Discount</v>
      </c>
    </row>
    <row r="38" spans="1:9" x14ac:dyDescent="0.35">
      <c r="A38" t="s">
        <v>29</v>
      </c>
      <c r="B38" s="3">
        <v>171</v>
      </c>
      <c r="C38" s="3">
        <v>360</v>
      </c>
      <c r="D38" s="3">
        <f t="shared" si="0"/>
        <v>189</v>
      </c>
      <c r="E38" s="1">
        <v>0.53</v>
      </c>
      <c r="F38" s="3">
        <v>2</v>
      </c>
      <c r="G38">
        <v>5</v>
      </c>
      <c r="H38" t="str">
        <f t="shared" si="1"/>
        <v>Excellent</v>
      </c>
      <c r="I38" t="str">
        <f t="shared" si="2"/>
        <v xml:space="preserve"> High Discount</v>
      </c>
    </row>
    <row r="39" spans="1:9" x14ac:dyDescent="0.35">
      <c r="A39" t="s">
        <v>93</v>
      </c>
      <c r="B39" s="3">
        <v>389</v>
      </c>
      <c r="C39" s="3">
        <v>656</v>
      </c>
      <c r="D39" s="3">
        <f t="shared" si="0"/>
        <v>267</v>
      </c>
      <c r="E39" s="1">
        <v>0.41</v>
      </c>
      <c r="F39" s="3">
        <v>36</v>
      </c>
      <c r="G39">
        <v>4.3</v>
      </c>
      <c r="H39" t="str">
        <f t="shared" si="1"/>
        <v>Average</v>
      </c>
      <c r="I39" t="str">
        <f t="shared" si="2"/>
        <v xml:space="preserve"> High Discount</v>
      </c>
    </row>
    <row r="40" spans="1:9" x14ac:dyDescent="0.35">
      <c r="A40" t="s">
        <v>94</v>
      </c>
      <c r="B40" s="3">
        <v>1980</v>
      </c>
      <c r="C40" s="3">
        <v>3200</v>
      </c>
      <c r="D40" s="3">
        <f t="shared" si="0"/>
        <v>1220</v>
      </c>
      <c r="E40" s="1">
        <v>0.38</v>
      </c>
      <c r="F40" s="3">
        <v>2</v>
      </c>
      <c r="G40">
        <v>4.5</v>
      </c>
      <c r="H40" t="str">
        <f t="shared" si="1"/>
        <v>Excellent</v>
      </c>
      <c r="I40" t="str">
        <f t="shared" si="2"/>
        <v>Medium Discount</v>
      </c>
    </row>
    <row r="41" spans="1:9" x14ac:dyDescent="0.35">
      <c r="A41" t="s">
        <v>95</v>
      </c>
      <c r="B41" s="3">
        <v>2750</v>
      </c>
      <c r="C41" s="3">
        <v>4471</v>
      </c>
      <c r="D41" s="3">
        <f t="shared" si="0"/>
        <v>1721</v>
      </c>
      <c r="E41" s="1">
        <v>0.38</v>
      </c>
      <c r="H41" t="str">
        <f t="shared" si="1"/>
        <v/>
      </c>
      <c r="I41" t="str">
        <f t="shared" si="2"/>
        <v>Medium Discount</v>
      </c>
    </row>
    <row r="42" spans="1:9" x14ac:dyDescent="0.35">
      <c r="A42" t="s">
        <v>96</v>
      </c>
      <c r="B42" s="3">
        <v>475</v>
      </c>
      <c r="C42" s="3">
        <v>931</v>
      </c>
      <c r="D42" s="3">
        <f t="shared" si="0"/>
        <v>456</v>
      </c>
      <c r="E42" s="1">
        <v>0.49</v>
      </c>
      <c r="H42" t="str">
        <f t="shared" si="1"/>
        <v/>
      </c>
      <c r="I42" t="str">
        <f t="shared" si="2"/>
        <v xml:space="preserve"> High Discount</v>
      </c>
    </row>
    <row r="43" spans="1:9" x14ac:dyDescent="0.35">
      <c r="A43" t="s">
        <v>97</v>
      </c>
      <c r="B43" s="3">
        <v>238</v>
      </c>
      <c r="C43" s="3">
        <v>476</v>
      </c>
      <c r="D43" s="3">
        <f t="shared" si="0"/>
        <v>238</v>
      </c>
      <c r="E43" s="1">
        <v>0.5</v>
      </c>
      <c r="H43" t="str">
        <f t="shared" si="1"/>
        <v/>
      </c>
      <c r="I43" t="str">
        <f t="shared" si="2"/>
        <v xml:space="preserve"> High Discount</v>
      </c>
    </row>
    <row r="44" spans="1:9" x14ac:dyDescent="0.35">
      <c r="A44" t="s">
        <v>30</v>
      </c>
      <c r="B44" s="3">
        <v>610</v>
      </c>
      <c r="C44" s="3">
        <v>1060</v>
      </c>
      <c r="D44" s="3">
        <f t="shared" si="0"/>
        <v>450</v>
      </c>
      <c r="E44" s="1">
        <v>0.42</v>
      </c>
      <c r="H44" t="str">
        <f t="shared" si="1"/>
        <v/>
      </c>
      <c r="I44" t="str">
        <f t="shared" si="2"/>
        <v xml:space="preserve"> High Discount</v>
      </c>
    </row>
    <row r="45" spans="1:9" x14ac:dyDescent="0.35">
      <c r="A45" t="s">
        <v>31</v>
      </c>
      <c r="B45" s="3">
        <v>2132</v>
      </c>
      <c r="C45" s="3">
        <v>2169</v>
      </c>
      <c r="D45" s="3">
        <f t="shared" si="0"/>
        <v>37</v>
      </c>
      <c r="E45" s="1">
        <v>0.02</v>
      </c>
      <c r="H45" t="str">
        <f t="shared" si="1"/>
        <v/>
      </c>
      <c r="I45" t="str">
        <f t="shared" si="2"/>
        <v>Low Discount</v>
      </c>
    </row>
    <row r="46" spans="1:9" x14ac:dyDescent="0.35">
      <c r="A46" t="s">
        <v>32</v>
      </c>
      <c r="B46" s="3">
        <v>999</v>
      </c>
      <c r="C46" s="3">
        <v>2000</v>
      </c>
      <c r="D46" s="3">
        <f t="shared" si="0"/>
        <v>1001</v>
      </c>
      <c r="E46" s="1">
        <v>0.5</v>
      </c>
      <c r="H46" t="str">
        <f t="shared" si="1"/>
        <v/>
      </c>
      <c r="I46" t="str">
        <f t="shared" si="2"/>
        <v xml:space="preserve"> High Discount</v>
      </c>
    </row>
    <row r="47" spans="1:9" x14ac:dyDescent="0.35">
      <c r="A47" t="s">
        <v>98</v>
      </c>
      <c r="B47" s="3">
        <v>1190</v>
      </c>
      <c r="C47" s="3">
        <v>1785</v>
      </c>
      <c r="D47" s="3">
        <f t="shared" si="0"/>
        <v>595</v>
      </c>
      <c r="E47" s="1">
        <v>0.33</v>
      </c>
      <c r="H47" t="str">
        <f t="shared" si="1"/>
        <v/>
      </c>
      <c r="I47" t="str">
        <f t="shared" si="2"/>
        <v>Medium Discount</v>
      </c>
    </row>
    <row r="48" spans="1:9" x14ac:dyDescent="0.35">
      <c r="A48" t="s">
        <v>33</v>
      </c>
      <c r="B48" s="3">
        <v>671</v>
      </c>
      <c r="C48" s="3">
        <v>1316</v>
      </c>
      <c r="D48" s="3">
        <f t="shared" si="0"/>
        <v>645</v>
      </c>
      <c r="E48" s="1">
        <v>0.49</v>
      </c>
      <c r="H48" t="str">
        <f t="shared" si="1"/>
        <v/>
      </c>
      <c r="I48" t="str">
        <f t="shared" si="2"/>
        <v xml:space="preserve"> High Discount</v>
      </c>
    </row>
    <row r="49" spans="1:9" x14ac:dyDescent="0.35">
      <c r="A49" t="s">
        <v>34</v>
      </c>
      <c r="B49" s="3">
        <v>1200</v>
      </c>
      <c r="C49" s="3">
        <v>1950</v>
      </c>
      <c r="D49" s="3">
        <f t="shared" si="0"/>
        <v>750</v>
      </c>
      <c r="E49" s="1">
        <v>0.38</v>
      </c>
      <c r="H49" t="str">
        <f t="shared" si="1"/>
        <v/>
      </c>
      <c r="I49" t="str">
        <f t="shared" si="2"/>
        <v>Medium Discount</v>
      </c>
    </row>
    <row r="50" spans="1:9" x14ac:dyDescent="0.35">
      <c r="A50" t="s">
        <v>35</v>
      </c>
      <c r="B50" s="3">
        <v>199</v>
      </c>
      <c r="C50" s="3">
        <v>504</v>
      </c>
      <c r="D50" s="3">
        <f t="shared" si="0"/>
        <v>305</v>
      </c>
      <c r="E50" s="1">
        <v>0.61</v>
      </c>
      <c r="H50" t="str">
        <f t="shared" si="1"/>
        <v/>
      </c>
      <c r="I50" t="str">
        <f t="shared" si="2"/>
        <v xml:space="preserve"> High Discount</v>
      </c>
    </row>
    <row r="51" spans="1:9" x14ac:dyDescent="0.35">
      <c r="A51" t="s">
        <v>36</v>
      </c>
      <c r="B51" s="3">
        <v>299</v>
      </c>
      <c r="C51" s="3">
        <v>600</v>
      </c>
      <c r="D51" s="3">
        <f t="shared" si="0"/>
        <v>301</v>
      </c>
      <c r="E51" s="1">
        <v>0.5</v>
      </c>
      <c r="H51" t="str">
        <f t="shared" si="1"/>
        <v/>
      </c>
      <c r="I51" t="str">
        <f t="shared" si="2"/>
        <v xml:space="preserve"> High Discount</v>
      </c>
    </row>
    <row r="52" spans="1:9" x14ac:dyDescent="0.35">
      <c r="A52" t="s">
        <v>37</v>
      </c>
      <c r="B52" s="3">
        <v>1660</v>
      </c>
      <c r="C52" s="3">
        <v>1699</v>
      </c>
      <c r="D52" s="3">
        <f t="shared" si="0"/>
        <v>39</v>
      </c>
      <c r="E52" s="1">
        <v>0.02</v>
      </c>
      <c r="H52" t="str">
        <f t="shared" si="1"/>
        <v/>
      </c>
      <c r="I52" t="str">
        <f t="shared" si="2"/>
        <v>Low Discount</v>
      </c>
    </row>
    <row r="53" spans="1:9" x14ac:dyDescent="0.35">
      <c r="A53" t="s">
        <v>38</v>
      </c>
      <c r="B53" s="3">
        <v>299</v>
      </c>
      <c r="C53" s="3">
        <v>384</v>
      </c>
      <c r="D53" s="3">
        <f t="shared" si="0"/>
        <v>85</v>
      </c>
      <c r="E53" s="1">
        <v>0.22</v>
      </c>
      <c r="H53" t="str">
        <f t="shared" si="1"/>
        <v/>
      </c>
      <c r="I53" t="str">
        <f t="shared" si="2"/>
        <v>Medium Discount</v>
      </c>
    </row>
    <row r="54" spans="1:9" x14ac:dyDescent="0.35">
      <c r="A54" t="s">
        <v>99</v>
      </c>
      <c r="B54" s="3">
        <v>1459</v>
      </c>
      <c r="C54" s="3">
        <v>1499</v>
      </c>
      <c r="D54" s="3">
        <f t="shared" si="0"/>
        <v>40</v>
      </c>
      <c r="E54" s="1">
        <v>0.03</v>
      </c>
      <c r="H54" t="str">
        <f t="shared" si="1"/>
        <v/>
      </c>
      <c r="I54" t="str">
        <f t="shared" si="2"/>
        <v>Low Discount</v>
      </c>
    </row>
    <row r="55" spans="1:9" x14ac:dyDescent="0.35">
      <c r="A55" t="s">
        <v>39</v>
      </c>
      <c r="B55" s="3">
        <v>799</v>
      </c>
      <c r="C55" s="3">
        <v>1343</v>
      </c>
      <c r="D55" s="3">
        <f t="shared" si="0"/>
        <v>544</v>
      </c>
      <c r="E55" s="1">
        <v>0.41</v>
      </c>
      <c r="H55" t="str">
        <f t="shared" si="1"/>
        <v/>
      </c>
      <c r="I55" t="str">
        <f t="shared" si="2"/>
        <v xml:space="preserve"> High Discount</v>
      </c>
    </row>
    <row r="56" spans="1:9" x14ac:dyDescent="0.35">
      <c r="A56" t="s">
        <v>40</v>
      </c>
      <c r="B56" s="3">
        <v>499</v>
      </c>
      <c r="C56" s="3">
        <v>900</v>
      </c>
      <c r="D56" s="3">
        <f t="shared" si="0"/>
        <v>401</v>
      </c>
      <c r="E56" s="1">
        <v>0.45</v>
      </c>
      <c r="H56" t="str">
        <f t="shared" si="1"/>
        <v/>
      </c>
      <c r="I56" t="str">
        <f t="shared" si="2"/>
        <v xml:space="preserve"> High Discount</v>
      </c>
    </row>
    <row r="57" spans="1:9" x14ac:dyDescent="0.35">
      <c r="A57" t="s">
        <v>41</v>
      </c>
      <c r="B57" s="3">
        <v>699</v>
      </c>
      <c r="C57" s="3">
        <v>1343</v>
      </c>
      <c r="D57" s="3">
        <f t="shared" si="0"/>
        <v>644</v>
      </c>
      <c r="E57" s="1">
        <v>0.48</v>
      </c>
      <c r="H57" t="str">
        <f t="shared" si="1"/>
        <v/>
      </c>
      <c r="I57" t="str">
        <f t="shared" si="2"/>
        <v xml:space="preserve"> High Discount</v>
      </c>
    </row>
    <row r="58" spans="1:9" x14ac:dyDescent="0.35">
      <c r="A58" t="s">
        <v>42</v>
      </c>
      <c r="B58" s="3">
        <v>799</v>
      </c>
      <c r="C58" s="3">
        <v>1567</v>
      </c>
      <c r="D58" s="3">
        <f t="shared" si="0"/>
        <v>768</v>
      </c>
      <c r="E58" s="1">
        <v>0.49</v>
      </c>
      <c r="H58" t="str">
        <f t="shared" si="1"/>
        <v/>
      </c>
      <c r="I58" t="str">
        <f t="shared" si="2"/>
        <v xml:space="preserve"> High Discount</v>
      </c>
    </row>
    <row r="59" spans="1:9" x14ac:dyDescent="0.35">
      <c r="A59" t="s">
        <v>100</v>
      </c>
      <c r="B59" s="3">
        <v>2799</v>
      </c>
      <c r="C59" s="3">
        <v>3810</v>
      </c>
      <c r="D59" s="3">
        <f t="shared" si="0"/>
        <v>1011</v>
      </c>
      <c r="E59" s="1">
        <v>0.27</v>
      </c>
      <c r="H59" t="str">
        <f t="shared" si="1"/>
        <v/>
      </c>
      <c r="I59" t="str">
        <f t="shared" si="2"/>
        <v>Medium Discount</v>
      </c>
    </row>
    <row r="60" spans="1:9" x14ac:dyDescent="0.35">
      <c r="A60" t="s">
        <v>40</v>
      </c>
      <c r="B60" s="3">
        <v>399</v>
      </c>
      <c r="C60" s="3">
        <v>896</v>
      </c>
      <c r="D60" s="3">
        <f t="shared" si="0"/>
        <v>497</v>
      </c>
      <c r="E60" s="1">
        <v>0.55000000000000004</v>
      </c>
      <c r="H60" t="str">
        <f t="shared" si="1"/>
        <v/>
      </c>
      <c r="I60" t="str">
        <f t="shared" si="2"/>
        <v xml:space="preserve"> High Discount</v>
      </c>
    </row>
    <row r="61" spans="1:9" x14ac:dyDescent="0.35">
      <c r="A61" t="s">
        <v>43</v>
      </c>
      <c r="B61" s="3">
        <v>2170</v>
      </c>
      <c r="C61" s="3">
        <v>2500</v>
      </c>
      <c r="D61" s="3">
        <f t="shared" si="0"/>
        <v>330</v>
      </c>
      <c r="E61" s="1">
        <v>0.13</v>
      </c>
      <c r="F61" s="3">
        <v>6</v>
      </c>
      <c r="G61">
        <v>2.5</v>
      </c>
      <c r="H61" t="str">
        <f t="shared" si="1"/>
        <v>Poor</v>
      </c>
      <c r="I61" t="str">
        <f t="shared" si="2"/>
        <v>Low Discount</v>
      </c>
    </row>
    <row r="62" spans="1:9" x14ac:dyDescent="0.35">
      <c r="A62" t="s">
        <v>44</v>
      </c>
      <c r="B62" s="3">
        <v>458</v>
      </c>
      <c r="C62" s="3">
        <v>986</v>
      </c>
      <c r="D62" s="3">
        <f t="shared" si="0"/>
        <v>528</v>
      </c>
      <c r="E62" s="1">
        <v>0.54</v>
      </c>
      <c r="F62" s="3">
        <v>10</v>
      </c>
      <c r="G62">
        <v>3</v>
      </c>
      <c r="H62" t="str">
        <f t="shared" si="1"/>
        <v>Average</v>
      </c>
      <c r="I62" t="str">
        <f t="shared" si="2"/>
        <v xml:space="preserve"> High Discount</v>
      </c>
    </row>
    <row r="63" spans="1:9" x14ac:dyDescent="0.35">
      <c r="A63" t="s">
        <v>101</v>
      </c>
      <c r="B63" s="3">
        <v>2115</v>
      </c>
      <c r="C63" s="3">
        <v>4700</v>
      </c>
      <c r="D63" s="3">
        <f t="shared" si="0"/>
        <v>2585</v>
      </c>
      <c r="E63" s="1">
        <v>0.55000000000000004</v>
      </c>
      <c r="F63" s="3">
        <v>13</v>
      </c>
      <c r="G63">
        <v>2.1</v>
      </c>
      <c r="H63" t="str">
        <f t="shared" si="1"/>
        <v>Poor</v>
      </c>
      <c r="I63" t="str">
        <f t="shared" si="2"/>
        <v xml:space="preserve"> High Discount</v>
      </c>
    </row>
    <row r="64" spans="1:9" x14ac:dyDescent="0.35">
      <c r="A64" t="s">
        <v>45</v>
      </c>
      <c r="B64" s="3">
        <v>445</v>
      </c>
      <c r="C64" s="3">
        <v>873</v>
      </c>
      <c r="D64" s="3">
        <f t="shared" si="0"/>
        <v>428</v>
      </c>
      <c r="E64" s="1">
        <v>0.49</v>
      </c>
      <c r="F64" s="3">
        <v>69</v>
      </c>
      <c r="G64">
        <v>2.8</v>
      </c>
      <c r="H64" t="str">
        <f t="shared" si="1"/>
        <v>Poor</v>
      </c>
      <c r="I64" t="str">
        <f t="shared" si="2"/>
        <v xml:space="preserve"> High Discount</v>
      </c>
    </row>
    <row r="65" spans="1:9" x14ac:dyDescent="0.35">
      <c r="A65" t="s">
        <v>46</v>
      </c>
      <c r="B65" s="3">
        <v>325</v>
      </c>
      <c r="C65" s="3">
        <v>680</v>
      </c>
      <c r="D65" s="3">
        <f t="shared" si="0"/>
        <v>355</v>
      </c>
      <c r="E65" s="1">
        <v>0.52</v>
      </c>
      <c r="F65" s="3">
        <v>15</v>
      </c>
      <c r="G65">
        <v>2.7</v>
      </c>
      <c r="H65" t="str">
        <f t="shared" si="1"/>
        <v>Poor</v>
      </c>
      <c r="I65" t="str">
        <f t="shared" si="2"/>
        <v xml:space="preserve"> High Discount</v>
      </c>
    </row>
    <row r="66" spans="1:9" x14ac:dyDescent="0.35">
      <c r="A66" t="s">
        <v>47</v>
      </c>
      <c r="B66" s="3">
        <v>1220</v>
      </c>
      <c r="C66" s="3">
        <v>1555</v>
      </c>
      <c r="D66" s="3">
        <f t="shared" si="0"/>
        <v>335</v>
      </c>
      <c r="E66" s="1">
        <v>0.22</v>
      </c>
      <c r="F66" s="3">
        <v>16</v>
      </c>
      <c r="G66">
        <v>2.9</v>
      </c>
      <c r="H66" t="str">
        <f t="shared" si="1"/>
        <v>Poor</v>
      </c>
      <c r="I66" t="str">
        <f t="shared" si="2"/>
        <v>Medium Discount</v>
      </c>
    </row>
    <row r="67" spans="1:9" x14ac:dyDescent="0.35">
      <c r="A67" t="s">
        <v>48</v>
      </c>
      <c r="B67" s="3">
        <v>990</v>
      </c>
      <c r="C67" s="3">
        <v>1814</v>
      </c>
      <c r="D67" s="3">
        <f t="shared" ref="D67:D113" si="3">C67-B67</f>
        <v>824</v>
      </c>
      <c r="E67" s="1">
        <v>0.45</v>
      </c>
      <c r="F67" s="3">
        <v>6</v>
      </c>
      <c r="G67">
        <v>2.2000000000000002</v>
      </c>
      <c r="H67" t="str">
        <f t="shared" ref="H67:H113" si="4">IF(G67 ="","",IF(G67&lt; 3,"Poor",IF(G67&lt;4.5,"Average","Excellent")))</f>
        <v>Poor</v>
      </c>
      <c r="I67" t="str">
        <f t="shared" ref="I67:I113" si="5">IF(E67&lt;20%,"Low Discount",IF(E67&lt;=40%,"Medium Discount"," High Discount"))</f>
        <v xml:space="preserve"> High Discount</v>
      </c>
    </row>
    <row r="68" spans="1:9" x14ac:dyDescent="0.35">
      <c r="A68" t="s">
        <v>49</v>
      </c>
      <c r="B68" s="3">
        <v>1000</v>
      </c>
      <c r="C68" s="3">
        <v>2000</v>
      </c>
      <c r="D68" s="3">
        <f t="shared" si="3"/>
        <v>1000</v>
      </c>
      <c r="E68" s="1">
        <v>0.5</v>
      </c>
      <c r="F68" s="3">
        <v>7</v>
      </c>
      <c r="G68">
        <v>2.2999999999999998</v>
      </c>
      <c r="H68" t="str">
        <f t="shared" si="4"/>
        <v>Poor</v>
      </c>
      <c r="I68" t="str">
        <f t="shared" si="5"/>
        <v xml:space="preserve"> High Discount</v>
      </c>
    </row>
    <row r="69" spans="1:9" x14ac:dyDescent="0.35">
      <c r="A69" t="s">
        <v>102</v>
      </c>
      <c r="B69" s="3">
        <v>3750</v>
      </c>
      <c r="C69" s="3">
        <v>6143</v>
      </c>
      <c r="D69" s="3">
        <f t="shared" si="3"/>
        <v>2393</v>
      </c>
      <c r="E69" s="1">
        <v>0.39</v>
      </c>
      <c r="F69" s="3">
        <v>5</v>
      </c>
      <c r="G69">
        <v>3</v>
      </c>
      <c r="H69" t="str">
        <f t="shared" si="4"/>
        <v>Average</v>
      </c>
      <c r="I69" t="str">
        <f t="shared" si="5"/>
        <v>Medium Discount</v>
      </c>
    </row>
    <row r="70" spans="1:9" x14ac:dyDescent="0.35">
      <c r="A70" t="s">
        <v>50</v>
      </c>
      <c r="B70" s="3">
        <v>382</v>
      </c>
      <c r="C70" s="3">
        <v>700</v>
      </c>
      <c r="D70" s="3">
        <f t="shared" si="3"/>
        <v>318</v>
      </c>
      <c r="E70" s="1">
        <v>0.45</v>
      </c>
      <c r="F70" s="3">
        <v>17</v>
      </c>
      <c r="G70">
        <v>2.6</v>
      </c>
      <c r="H70" t="str">
        <f t="shared" si="4"/>
        <v>Poor</v>
      </c>
      <c r="I70" t="str">
        <f t="shared" si="5"/>
        <v xml:space="preserve"> High Discount</v>
      </c>
    </row>
    <row r="71" spans="1:9" x14ac:dyDescent="0.35">
      <c r="A71" t="s">
        <v>51</v>
      </c>
      <c r="B71" s="3">
        <v>2300</v>
      </c>
      <c r="C71" s="3">
        <v>3240</v>
      </c>
      <c r="D71" s="3">
        <f t="shared" si="3"/>
        <v>940</v>
      </c>
      <c r="E71" s="1">
        <v>0.28999999999999998</v>
      </c>
      <c r="F71" s="3">
        <v>5</v>
      </c>
      <c r="G71">
        <v>3</v>
      </c>
      <c r="H71" t="str">
        <f t="shared" si="4"/>
        <v>Average</v>
      </c>
      <c r="I71" t="str">
        <f t="shared" si="5"/>
        <v>Medium Discount</v>
      </c>
    </row>
    <row r="72" spans="1:9" x14ac:dyDescent="0.35">
      <c r="A72" t="s">
        <v>52</v>
      </c>
      <c r="B72" s="3">
        <v>345</v>
      </c>
      <c r="C72" s="3">
        <v>602</v>
      </c>
      <c r="D72" s="3">
        <f t="shared" si="3"/>
        <v>257</v>
      </c>
      <c r="E72" s="1">
        <v>0.43</v>
      </c>
      <c r="F72" s="3">
        <v>6</v>
      </c>
      <c r="G72">
        <v>2.2999999999999998</v>
      </c>
      <c r="H72" t="str">
        <f t="shared" si="4"/>
        <v>Poor</v>
      </c>
      <c r="I72" t="str">
        <f t="shared" si="5"/>
        <v xml:space="preserve"> High Discount</v>
      </c>
    </row>
    <row r="73" spans="1:9" x14ac:dyDescent="0.35">
      <c r="A73" t="s">
        <v>53</v>
      </c>
      <c r="B73" s="3">
        <v>509</v>
      </c>
      <c r="C73" s="3">
        <v>899</v>
      </c>
      <c r="D73" s="3">
        <f t="shared" si="3"/>
        <v>390</v>
      </c>
      <c r="E73" s="1">
        <v>0.43</v>
      </c>
      <c r="F73" s="3">
        <v>5</v>
      </c>
      <c r="G73">
        <v>3</v>
      </c>
      <c r="H73" t="str">
        <f t="shared" si="4"/>
        <v>Average</v>
      </c>
      <c r="I73" t="str">
        <f t="shared" si="5"/>
        <v xml:space="preserve"> High Discount</v>
      </c>
    </row>
    <row r="74" spans="1:9" x14ac:dyDescent="0.35">
      <c r="A74" t="s">
        <v>103</v>
      </c>
      <c r="B74" s="3">
        <v>968</v>
      </c>
      <c r="C74" s="3">
        <v>1814</v>
      </c>
      <c r="D74" s="3">
        <f t="shared" si="3"/>
        <v>846</v>
      </c>
      <c r="E74" s="1">
        <v>0.47</v>
      </c>
      <c r="F74" s="3">
        <v>6</v>
      </c>
      <c r="G74">
        <v>2.2000000000000002</v>
      </c>
      <c r="H74" t="str">
        <f t="shared" si="4"/>
        <v>Poor</v>
      </c>
      <c r="I74" t="str">
        <f t="shared" si="5"/>
        <v xml:space="preserve"> High Discount</v>
      </c>
    </row>
    <row r="75" spans="1:9" x14ac:dyDescent="0.35">
      <c r="A75" t="s">
        <v>104</v>
      </c>
      <c r="B75" s="3">
        <v>1570</v>
      </c>
      <c r="C75" s="3">
        <v>2988</v>
      </c>
      <c r="D75" s="3">
        <f t="shared" si="3"/>
        <v>1418</v>
      </c>
      <c r="E75" s="1">
        <v>0.47</v>
      </c>
      <c r="F75" s="3">
        <v>7</v>
      </c>
      <c r="G75">
        <v>2.1</v>
      </c>
      <c r="H75" t="str">
        <f t="shared" si="4"/>
        <v>Poor</v>
      </c>
      <c r="I75" t="str">
        <f t="shared" si="5"/>
        <v xml:space="preserve"> High Discount</v>
      </c>
    </row>
    <row r="76" spans="1:9" x14ac:dyDescent="0.35">
      <c r="A76" t="s">
        <v>54</v>
      </c>
      <c r="B76" s="3">
        <v>790</v>
      </c>
      <c r="C76" s="3">
        <v>1485</v>
      </c>
      <c r="D76" s="3">
        <f t="shared" si="3"/>
        <v>695</v>
      </c>
      <c r="E76" s="1">
        <v>0.47</v>
      </c>
      <c r="H76" t="str">
        <f t="shared" si="4"/>
        <v/>
      </c>
      <c r="I76" t="str">
        <f t="shared" si="5"/>
        <v xml:space="preserve"> High Discount</v>
      </c>
    </row>
    <row r="77" spans="1:9" x14ac:dyDescent="0.35">
      <c r="A77" t="s">
        <v>55</v>
      </c>
      <c r="B77" s="3">
        <v>690</v>
      </c>
      <c r="C77" s="3">
        <v>1200</v>
      </c>
      <c r="D77" s="3">
        <f t="shared" si="3"/>
        <v>510</v>
      </c>
      <c r="E77" s="1">
        <v>0.43</v>
      </c>
      <c r="H77" t="str">
        <f t="shared" si="4"/>
        <v/>
      </c>
      <c r="I77" t="str">
        <f t="shared" si="5"/>
        <v xml:space="preserve"> High Discount</v>
      </c>
    </row>
    <row r="78" spans="1:9" x14ac:dyDescent="0.35">
      <c r="A78" t="s">
        <v>56</v>
      </c>
      <c r="B78" s="3">
        <v>1732</v>
      </c>
      <c r="C78" s="3">
        <v>1799</v>
      </c>
      <c r="D78" s="3">
        <f t="shared" si="3"/>
        <v>67</v>
      </c>
      <c r="E78" s="1">
        <v>0.04</v>
      </c>
      <c r="H78" t="str">
        <f t="shared" si="4"/>
        <v/>
      </c>
      <c r="I78" t="str">
        <f t="shared" si="5"/>
        <v>Low Discount</v>
      </c>
    </row>
    <row r="79" spans="1:9" x14ac:dyDescent="0.35">
      <c r="A79" t="s">
        <v>57</v>
      </c>
      <c r="B79" s="3">
        <v>230</v>
      </c>
      <c r="C79" s="3">
        <v>450</v>
      </c>
      <c r="D79" s="3">
        <f t="shared" si="3"/>
        <v>220</v>
      </c>
      <c r="E79" s="1">
        <v>0.49</v>
      </c>
      <c r="H79" t="str">
        <f t="shared" si="4"/>
        <v/>
      </c>
      <c r="I79" t="str">
        <f t="shared" si="5"/>
        <v xml:space="preserve"> High Discount</v>
      </c>
    </row>
    <row r="80" spans="1:9" x14ac:dyDescent="0.35">
      <c r="A80" t="s">
        <v>105</v>
      </c>
      <c r="B80" s="3">
        <v>1189</v>
      </c>
      <c r="C80" s="3">
        <v>2199</v>
      </c>
      <c r="D80" s="3">
        <f t="shared" si="3"/>
        <v>1010</v>
      </c>
      <c r="E80" s="1">
        <v>0.46</v>
      </c>
      <c r="F80" s="3">
        <v>1</v>
      </c>
      <c r="G80">
        <v>3</v>
      </c>
      <c r="H80" t="str">
        <f t="shared" si="4"/>
        <v>Average</v>
      </c>
      <c r="I80" t="str">
        <f t="shared" si="5"/>
        <v xml:space="preserve"> High Discount</v>
      </c>
    </row>
    <row r="81" spans="1:9" x14ac:dyDescent="0.35">
      <c r="A81" t="s">
        <v>106</v>
      </c>
      <c r="B81" s="3">
        <v>979</v>
      </c>
      <c r="C81" s="3">
        <v>1920</v>
      </c>
      <c r="D81" s="3">
        <f t="shared" si="3"/>
        <v>941</v>
      </c>
      <c r="E81" s="1">
        <v>0.49</v>
      </c>
      <c r="F81" s="3">
        <v>1</v>
      </c>
      <c r="G81">
        <v>5</v>
      </c>
      <c r="H81" t="str">
        <f t="shared" si="4"/>
        <v>Excellent</v>
      </c>
      <c r="I81" t="str">
        <f t="shared" si="5"/>
        <v xml:space="preserve"> High Discount</v>
      </c>
    </row>
    <row r="82" spans="1:9" x14ac:dyDescent="0.35">
      <c r="A82" t="s">
        <v>58</v>
      </c>
      <c r="B82" s="3">
        <v>1460</v>
      </c>
      <c r="C82" s="3">
        <v>2290</v>
      </c>
      <c r="D82" s="3">
        <f t="shared" si="3"/>
        <v>830</v>
      </c>
      <c r="E82" s="1">
        <v>0.36</v>
      </c>
      <c r="H82" t="str">
        <f t="shared" si="4"/>
        <v/>
      </c>
      <c r="I82" t="str">
        <f t="shared" si="5"/>
        <v>Medium Discount</v>
      </c>
    </row>
    <row r="83" spans="1:9" x14ac:dyDescent="0.35">
      <c r="A83" t="s">
        <v>59</v>
      </c>
      <c r="B83" s="3">
        <v>1666</v>
      </c>
      <c r="C83" s="3">
        <v>1699</v>
      </c>
      <c r="D83" s="3">
        <f t="shared" si="3"/>
        <v>33</v>
      </c>
      <c r="E83" s="1">
        <v>0.02</v>
      </c>
      <c r="H83" t="str">
        <f t="shared" si="4"/>
        <v/>
      </c>
      <c r="I83" t="str">
        <f t="shared" si="5"/>
        <v>Low Discount</v>
      </c>
    </row>
    <row r="84" spans="1:9" x14ac:dyDescent="0.35">
      <c r="A84" t="s">
        <v>60</v>
      </c>
      <c r="B84" s="3">
        <v>330</v>
      </c>
      <c r="C84" s="3">
        <v>647</v>
      </c>
      <c r="D84" s="3">
        <f t="shared" si="3"/>
        <v>317</v>
      </c>
      <c r="E84" s="1">
        <v>0.49</v>
      </c>
      <c r="F84" s="3">
        <v>1</v>
      </c>
      <c r="G84">
        <v>4</v>
      </c>
      <c r="H84" t="str">
        <f t="shared" si="4"/>
        <v>Average</v>
      </c>
      <c r="I84" t="str">
        <f t="shared" si="5"/>
        <v xml:space="preserve"> High Discount</v>
      </c>
    </row>
    <row r="85" spans="1:9" x14ac:dyDescent="0.35">
      <c r="A85" t="s">
        <v>35</v>
      </c>
      <c r="B85" s="3">
        <v>176</v>
      </c>
      <c r="C85" s="3">
        <v>345</v>
      </c>
      <c r="D85" s="3">
        <f t="shared" si="3"/>
        <v>169</v>
      </c>
      <c r="E85" s="1">
        <v>0.49</v>
      </c>
      <c r="H85" t="str">
        <f t="shared" si="4"/>
        <v/>
      </c>
      <c r="I85" t="str">
        <f t="shared" si="5"/>
        <v xml:space="preserve"> High Discount</v>
      </c>
    </row>
    <row r="86" spans="1:9" x14ac:dyDescent="0.35">
      <c r="A86" t="s">
        <v>61</v>
      </c>
      <c r="B86" s="3">
        <v>1466</v>
      </c>
      <c r="C86" s="3">
        <v>1699</v>
      </c>
      <c r="D86" s="3">
        <f t="shared" si="3"/>
        <v>233</v>
      </c>
      <c r="E86" s="1">
        <v>0.14000000000000001</v>
      </c>
      <c r="H86" t="str">
        <f t="shared" si="4"/>
        <v/>
      </c>
      <c r="I86" t="str">
        <f t="shared" si="5"/>
        <v>Low Discount</v>
      </c>
    </row>
    <row r="87" spans="1:9" x14ac:dyDescent="0.35">
      <c r="A87" t="s">
        <v>62</v>
      </c>
      <c r="B87" s="3">
        <v>274</v>
      </c>
      <c r="C87" s="3">
        <v>537</v>
      </c>
      <c r="D87" s="3">
        <f t="shared" si="3"/>
        <v>263</v>
      </c>
      <c r="E87" s="1">
        <v>0.49</v>
      </c>
      <c r="H87" t="str">
        <f t="shared" si="4"/>
        <v/>
      </c>
      <c r="I87" t="str">
        <f t="shared" si="5"/>
        <v xml:space="preserve"> High Discount</v>
      </c>
    </row>
    <row r="88" spans="1:9" x14ac:dyDescent="0.35">
      <c r="A88" t="s">
        <v>107</v>
      </c>
      <c r="B88" s="3">
        <v>799</v>
      </c>
      <c r="C88" s="3">
        <v>900</v>
      </c>
      <c r="D88" s="3">
        <f t="shared" si="3"/>
        <v>101</v>
      </c>
      <c r="E88" s="1">
        <v>0.11</v>
      </c>
      <c r="H88" t="str">
        <f t="shared" si="4"/>
        <v/>
      </c>
      <c r="I88" t="str">
        <f t="shared" si="5"/>
        <v>Low Discount</v>
      </c>
    </row>
    <row r="89" spans="1:9" x14ac:dyDescent="0.35">
      <c r="A89" t="s">
        <v>42</v>
      </c>
      <c r="B89" s="3">
        <v>657</v>
      </c>
      <c r="C89" s="3">
        <v>1288</v>
      </c>
      <c r="D89" s="3">
        <f t="shared" si="3"/>
        <v>631</v>
      </c>
      <c r="E89" s="1">
        <v>0.49</v>
      </c>
      <c r="H89" t="str">
        <f t="shared" si="4"/>
        <v/>
      </c>
      <c r="I89" t="str">
        <f t="shared" si="5"/>
        <v xml:space="preserve"> High Discount</v>
      </c>
    </row>
    <row r="90" spans="1:9" x14ac:dyDescent="0.35">
      <c r="A90" t="s">
        <v>108</v>
      </c>
      <c r="B90" s="3">
        <v>1468</v>
      </c>
      <c r="C90" s="3">
        <v>1699</v>
      </c>
      <c r="D90" s="3">
        <f t="shared" si="3"/>
        <v>231</v>
      </c>
      <c r="E90" s="1">
        <v>0.14000000000000001</v>
      </c>
      <c r="H90" t="str">
        <f t="shared" si="4"/>
        <v/>
      </c>
      <c r="I90" t="str">
        <f t="shared" si="5"/>
        <v>Low Discount</v>
      </c>
    </row>
    <row r="91" spans="1:9" x14ac:dyDescent="0.35">
      <c r="A91" t="s">
        <v>63</v>
      </c>
      <c r="B91" s="3">
        <v>630</v>
      </c>
      <c r="C91" s="3">
        <v>1100</v>
      </c>
      <c r="D91" s="3">
        <f t="shared" si="3"/>
        <v>470</v>
      </c>
      <c r="E91" s="1">
        <v>0.43</v>
      </c>
      <c r="H91" t="str">
        <f t="shared" si="4"/>
        <v/>
      </c>
      <c r="I91" t="str">
        <f t="shared" si="5"/>
        <v xml:space="preserve"> High Discount</v>
      </c>
    </row>
    <row r="92" spans="1:9" x14ac:dyDescent="0.35">
      <c r="A92" t="s">
        <v>64</v>
      </c>
      <c r="B92" s="3">
        <v>850</v>
      </c>
      <c r="C92" s="3">
        <v>1700</v>
      </c>
      <c r="D92" s="3">
        <f t="shared" si="3"/>
        <v>850</v>
      </c>
      <c r="E92" s="1">
        <v>0.5</v>
      </c>
      <c r="H92" t="str">
        <f t="shared" si="4"/>
        <v/>
      </c>
      <c r="I92" t="str">
        <f t="shared" si="5"/>
        <v xml:space="preserve"> High Discount</v>
      </c>
    </row>
    <row r="93" spans="1:9" x14ac:dyDescent="0.35">
      <c r="A93" t="s">
        <v>65</v>
      </c>
      <c r="B93" s="3">
        <v>1300</v>
      </c>
      <c r="C93" s="3">
        <v>2500</v>
      </c>
      <c r="D93" s="3">
        <f t="shared" si="3"/>
        <v>1200</v>
      </c>
      <c r="E93" s="1">
        <v>0.48</v>
      </c>
      <c r="H93" t="str">
        <f t="shared" si="4"/>
        <v/>
      </c>
      <c r="I93" t="str">
        <f t="shared" si="5"/>
        <v xml:space="preserve"> High Discount</v>
      </c>
    </row>
    <row r="94" spans="1:9" x14ac:dyDescent="0.35">
      <c r="A94" t="s">
        <v>66</v>
      </c>
      <c r="B94" s="3">
        <v>105</v>
      </c>
      <c r="C94" s="3">
        <v>200</v>
      </c>
      <c r="D94" s="3">
        <f t="shared" si="3"/>
        <v>95</v>
      </c>
      <c r="E94" s="1">
        <v>0.48</v>
      </c>
      <c r="H94" t="str">
        <f t="shared" si="4"/>
        <v/>
      </c>
      <c r="I94" t="str">
        <f t="shared" si="5"/>
        <v xml:space="preserve"> High Discount</v>
      </c>
    </row>
    <row r="95" spans="1:9" x14ac:dyDescent="0.35">
      <c r="A95" t="s">
        <v>67</v>
      </c>
      <c r="B95" s="3">
        <v>899</v>
      </c>
      <c r="C95" s="3">
        <v>1699</v>
      </c>
      <c r="D95" s="3">
        <f t="shared" si="3"/>
        <v>800</v>
      </c>
      <c r="E95" s="1">
        <v>0.47</v>
      </c>
      <c r="H95" t="str">
        <f t="shared" si="4"/>
        <v/>
      </c>
      <c r="I95" t="str">
        <f t="shared" si="5"/>
        <v xml:space="preserve"> High Discount</v>
      </c>
    </row>
    <row r="96" spans="1:9" x14ac:dyDescent="0.35">
      <c r="A96" t="s">
        <v>109</v>
      </c>
      <c r="B96" s="3">
        <v>1200</v>
      </c>
      <c r="C96" s="3">
        <v>2400</v>
      </c>
      <c r="D96" s="3">
        <f t="shared" si="3"/>
        <v>1200</v>
      </c>
      <c r="E96" s="1">
        <v>0.5</v>
      </c>
      <c r="H96" t="str">
        <f t="shared" si="4"/>
        <v/>
      </c>
      <c r="I96" t="str">
        <f t="shared" si="5"/>
        <v xml:space="preserve"> High Discount</v>
      </c>
    </row>
    <row r="97" spans="1:9" x14ac:dyDescent="0.35">
      <c r="A97" t="s">
        <v>68</v>
      </c>
      <c r="B97" s="3">
        <v>1526</v>
      </c>
      <c r="C97" s="3">
        <v>1660</v>
      </c>
      <c r="D97" s="3">
        <f t="shared" si="3"/>
        <v>134</v>
      </c>
      <c r="E97" s="1">
        <v>0.08</v>
      </c>
      <c r="H97" t="str">
        <f t="shared" si="4"/>
        <v/>
      </c>
      <c r="I97" t="str">
        <f t="shared" si="5"/>
        <v>Low Discount</v>
      </c>
    </row>
    <row r="98" spans="1:9" x14ac:dyDescent="0.35">
      <c r="A98" t="s">
        <v>69</v>
      </c>
      <c r="B98" s="3">
        <v>1462</v>
      </c>
      <c r="C98" s="3">
        <v>1499</v>
      </c>
      <c r="D98" s="3">
        <f t="shared" si="3"/>
        <v>37</v>
      </c>
      <c r="E98" s="1">
        <v>0.02</v>
      </c>
      <c r="H98" t="str">
        <f t="shared" si="4"/>
        <v/>
      </c>
      <c r="I98" t="str">
        <f t="shared" si="5"/>
        <v>Low Discount</v>
      </c>
    </row>
    <row r="99" spans="1:9" x14ac:dyDescent="0.35">
      <c r="A99" t="s">
        <v>70</v>
      </c>
      <c r="B99" s="3">
        <v>248</v>
      </c>
      <c r="C99" s="3">
        <v>486</v>
      </c>
      <c r="D99" s="3">
        <f t="shared" si="3"/>
        <v>238</v>
      </c>
      <c r="E99" s="1">
        <v>0.49</v>
      </c>
      <c r="H99" t="str">
        <f t="shared" si="4"/>
        <v/>
      </c>
      <c r="I99" t="str">
        <f t="shared" si="5"/>
        <v xml:space="preserve"> High Discount</v>
      </c>
    </row>
    <row r="100" spans="1:9" x14ac:dyDescent="0.35">
      <c r="A100" t="s">
        <v>71</v>
      </c>
      <c r="B100" s="3">
        <v>3546</v>
      </c>
      <c r="C100" s="3">
        <v>3699</v>
      </c>
      <c r="D100" s="3">
        <f t="shared" si="3"/>
        <v>153</v>
      </c>
      <c r="E100" s="1">
        <v>0.04</v>
      </c>
      <c r="H100" t="str">
        <f t="shared" si="4"/>
        <v/>
      </c>
      <c r="I100" t="str">
        <f t="shared" si="5"/>
        <v>Low Discount</v>
      </c>
    </row>
    <row r="101" spans="1:9" x14ac:dyDescent="0.35">
      <c r="A101" t="s">
        <v>72</v>
      </c>
      <c r="B101" s="3">
        <v>525</v>
      </c>
      <c r="C101" s="3">
        <v>1029</v>
      </c>
      <c r="D101" s="3">
        <f t="shared" si="3"/>
        <v>504</v>
      </c>
      <c r="E101" s="1">
        <v>0.49</v>
      </c>
      <c r="H101" t="str">
        <f t="shared" si="4"/>
        <v/>
      </c>
      <c r="I101" t="str">
        <f t="shared" si="5"/>
        <v xml:space="preserve"> High Discount</v>
      </c>
    </row>
    <row r="102" spans="1:9" x14ac:dyDescent="0.35">
      <c r="A102" t="s">
        <v>73</v>
      </c>
      <c r="B102" s="3">
        <v>1080</v>
      </c>
      <c r="C102" s="3">
        <v>1874</v>
      </c>
      <c r="D102" s="3">
        <f t="shared" si="3"/>
        <v>794</v>
      </c>
      <c r="E102" s="1">
        <v>0.42</v>
      </c>
      <c r="H102" t="str">
        <f t="shared" si="4"/>
        <v/>
      </c>
      <c r="I102" t="str">
        <f t="shared" si="5"/>
        <v xml:space="preserve"> High Discount</v>
      </c>
    </row>
    <row r="103" spans="1:9" x14ac:dyDescent="0.35">
      <c r="A103" t="s">
        <v>110</v>
      </c>
      <c r="B103" s="3">
        <v>3640</v>
      </c>
      <c r="C103" s="3">
        <v>4588</v>
      </c>
      <c r="D103" s="3">
        <f t="shared" si="3"/>
        <v>948</v>
      </c>
      <c r="E103" s="1">
        <v>0.21</v>
      </c>
      <c r="F103" s="3">
        <v>1</v>
      </c>
      <c r="G103">
        <v>5</v>
      </c>
      <c r="H103" t="str">
        <f t="shared" si="4"/>
        <v>Excellent</v>
      </c>
      <c r="I103" t="str">
        <f t="shared" si="5"/>
        <v>Medium Discount</v>
      </c>
    </row>
    <row r="104" spans="1:9" x14ac:dyDescent="0.35">
      <c r="A104" t="s">
        <v>74</v>
      </c>
      <c r="B104" s="3">
        <v>1420</v>
      </c>
      <c r="C104" s="3">
        <v>2420</v>
      </c>
      <c r="D104" s="3">
        <f t="shared" si="3"/>
        <v>1000</v>
      </c>
      <c r="E104" s="1">
        <v>0.41</v>
      </c>
      <c r="H104" t="str">
        <f t="shared" si="4"/>
        <v/>
      </c>
      <c r="I104" t="str">
        <f t="shared" si="5"/>
        <v xml:space="preserve"> High Discount</v>
      </c>
    </row>
    <row r="105" spans="1:9" x14ac:dyDescent="0.35">
      <c r="A105" t="s">
        <v>111</v>
      </c>
      <c r="B105" s="3">
        <v>1875</v>
      </c>
      <c r="C105" s="3">
        <v>1899</v>
      </c>
      <c r="D105" s="3">
        <f t="shared" si="3"/>
        <v>24</v>
      </c>
      <c r="E105" s="1">
        <v>0.01</v>
      </c>
      <c r="H105" t="str">
        <f t="shared" si="4"/>
        <v/>
      </c>
      <c r="I105" t="str">
        <f t="shared" si="5"/>
        <v>Low Discount</v>
      </c>
    </row>
    <row r="106" spans="1:9" x14ac:dyDescent="0.35">
      <c r="A106" t="s">
        <v>75</v>
      </c>
      <c r="B106" s="3">
        <v>198</v>
      </c>
      <c r="C106" s="3">
        <v>260</v>
      </c>
      <c r="D106" s="3">
        <f t="shared" si="3"/>
        <v>62</v>
      </c>
      <c r="E106" s="1">
        <v>0.24</v>
      </c>
      <c r="H106" t="str">
        <f t="shared" si="4"/>
        <v/>
      </c>
      <c r="I106" t="str">
        <f t="shared" si="5"/>
        <v>Medium Discount</v>
      </c>
    </row>
    <row r="107" spans="1:9" x14ac:dyDescent="0.35">
      <c r="A107" t="s">
        <v>112</v>
      </c>
      <c r="B107" s="3">
        <v>1150</v>
      </c>
      <c r="C107" s="3">
        <v>1737</v>
      </c>
      <c r="D107" s="3">
        <f t="shared" si="3"/>
        <v>587</v>
      </c>
      <c r="E107" s="1">
        <v>0.34</v>
      </c>
      <c r="H107" t="str">
        <f t="shared" si="4"/>
        <v/>
      </c>
      <c r="I107" t="str">
        <f t="shared" si="5"/>
        <v>Medium Discount</v>
      </c>
    </row>
    <row r="108" spans="1:9" x14ac:dyDescent="0.35">
      <c r="A108" t="s">
        <v>76</v>
      </c>
      <c r="B108" s="3">
        <v>1190</v>
      </c>
      <c r="C108" s="3">
        <v>1810</v>
      </c>
      <c r="D108" s="3">
        <f t="shared" si="3"/>
        <v>620</v>
      </c>
      <c r="E108" s="1">
        <v>0.34</v>
      </c>
      <c r="H108" t="str">
        <f t="shared" si="4"/>
        <v/>
      </c>
      <c r="I108" t="str">
        <f t="shared" si="5"/>
        <v>Medium Discount</v>
      </c>
    </row>
    <row r="109" spans="1:9" x14ac:dyDescent="0.35">
      <c r="A109" t="s">
        <v>77</v>
      </c>
      <c r="B109" s="3">
        <v>1658</v>
      </c>
      <c r="C109" s="3">
        <v>1699</v>
      </c>
      <c r="D109" s="3">
        <f t="shared" si="3"/>
        <v>41</v>
      </c>
      <c r="E109" s="1">
        <v>0.02</v>
      </c>
      <c r="H109" t="str">
        <f t="shared" si="4"/>
        <v/>
      </c>
      <c r="I109" t="str">
        <f t="shared" si="5"/>
        <v>Low Discount</v>
      </c>
    </row>
    <row r="110" spans="1:9" x14ac:dyDescent="0.35">
      <c r="A110" t="s">
        <v>78</v>
      </c>
      <c r="B110" s="3">
        <v>1768</v>
      </c>
      <c r="C110" s="3">
        <v>1799</v>
      </c>
      <c r="D110" s="3">
        <f t="shared" si="3"/>
        <v>31</v>
      </c>
      <c r="E110" s="1">
        <v>0.02</v>
      </c>
      <c r="H110" t="str">
        <f t="shared" si="4"/>
        <v/>
      </c>
      <c r="I110" t="str">
        <f t="shared" si="5"/>
        <v>Low Discount</v>
      </c>
    </row>
    <row r="111" spans="1:9" x14ac:dyDescent="0.35">
      <c r="A111" t="s">
        <v>79</v>
      </c>
      <c r="B111" s="3">
        <v>199</v>
      </c>
      <c r="C111" s="3">
        <v>553</v>
      </c>
      <c r="D111" s="3">
        <f t="shared" si="3"/>
        <v>354</v>
      </c>
      <c r="E111" s="1">
        <v>0.64</v>
      </c>
      <c r="H111" t="str">
        <f t="shared" si="4"/>
        <v/>
      </c>
      <c r="I111" t="str">
        <f t="shared" si="5"/>
        <v xml:space="preserve"> High Discount</v>
      </c>
    </row>
    <row r="112" spans="1:9" x14ac:dyDescent="0.35">
      <c r="A112" t="s">
        <v>113</v>
      </c>
      <c r="B112" s="3">
        <v>450</v>
      </c>
      <c r="C112" s="3">
        <v>900</v>
      </c>
      <c r="D112" s="3">
        <f t="shared" si="3"/>
        <v>450</v>
      </c>
      <c r="E112" s="1">
        <v>0.5</v>
      </c>
      <c r="F112" s="3">
        <v>1</v>
      </c>
      <c r="G112">
        <v>2</v>
      </c>
      <c r="H112" t="str">
        <f t="shared" si="4"/>
        <v>Poor</v>
      </c>
      <c r="I112" t="str">
        <f t="shared" si="5"/>
        <v xml:space="preserve"> High Discount</v>
      </c>
    </row>
    <row r="113" spans="1:9" x14ac:dyDescent="0.35">
      <c r="A113" t="s">
        <v>80</v>
      </c>
      <c r="B113" s="3">
        <v>169</v>
      </c>
      <c r="C113" s="3">
        <v>320</v>
      </c>
      <c r="D113" s="3">
        <f t="shared" si="3"/>
        <v>151</v>
      </c>
      <c r="E113" s="1">
        <v>0.47</v>
      </c>
      <c r="H113" t="str">
        <f t="shared" si="4"/>
        <v/>
      </c>
      <c r="I113" t="str">
        <f t="shared" si="5"/>
        <v xml:space="preserve"> High Discount</v>
      </c>
    </row>
    <row r="115" spans="1:9" x14ac:dyDescent="0.35">
      <c r="B115" s="4" t="s">
        <v>118</v>
      </c>
      <c r="C115" s="4" t="s">
        <v>119</v>
      </c>
      <c r="E115" s="5" t="s">
        <v>120</v>
      </c>
      <c r="G115" s="4" t="s">
        <v>121</v>
      </c>
    </row>
    <row r="116" spans="1:9" x14ac:dyDescent="0.35">
      <c r="B116" s="3">
        <f>AVERAGE(B2:B113)</f>
        <v>1188.5</v>
      </c>
      <c r="C116" s="3">
        <f>AVERAGE(C2:C113)</f>
        <v>1815.5714285714287</v>
      </c>
      <c r="E116" s="1">
        <f>AVERAGE(E2:E113)</f>
        <v>0.36776785714285715</v>
      </c>
      <c r="G116" s="2">
        <f>AVERAGE(G2:G113)</f>
        <v>3.8894736842105258</v>
      </c>
    </row>
    <row r="117" spans="1:9" x14ac:dyDescent="0.35">
      <c r="A117" s="6" t="s">
        <v>122</v>
      </c>
    </row>
    <row r="118" spans="1:9" x14ac:dyDescent="0.35">
      <c r="A118" t="str">
        <f>INDEX(A2:A113, MATCH(MAX(B2:B113), B2:B113, 0))</f>
        <v>32PCS Portable Cordless Drill Set With Cyclic Battery Drive 26 Variable Speed</v>
      </c>
      <c r="B118" s="3">
        <f>SUM(B2:B113)</f>
        <v>133112</v>
      </c>
      <c r="F118" s="3">
        <f>SUM(F2:F113)</f>
        <v>723</v>
      </c>
    </row>
    <row r="120" spans="1:9" x14ac:dyDescent="0.35">
      <c r="A120" s="6" t="s">
        <v>123</v>
      </c>
    </row>
    <row r="121" spans="1:9" x14ac:dyDescent="0.35">
      <c r="A121" t="str">
        <f>INDEX(A2:A113, MATCH(MIN(B2:B113), B2:B113, 0))</f>
        <v>3PCS Single Head Knitting Crochet Sweater Needle Set</v>
      </c>
    </row>
    <row r="123" spans="1:9" x14ac:dyDescent="0.35">
      <c r="A123">
        <f>COUNT(A2:A113)</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Rating category by discount</vt:lpstr>
      <vt:lpstr>Discount percentage by reviews</vt:lpstr>
      <vt:lpstr>Rating by reviews</vt:lpstr>
      <vt:lpstr>Top 5products with the highest </vt:lpstr>
      <vt:lpstr>Top 5products with the lowest r</vt:lpstr>
      <vt:lpstr>Top 10 products with highest di</vt:lpstr>
      <vt:lpstr>Top 10 products with most revie</vt:lpstr>
      <vt:lpstr>Products by rating,discount and</vt:lpstr>
      <vt:lpstr>Top 10 products by discount</vt:lpstr>
      <vt:lpstr>Top 10 products by ratings</vt:lpstr>
      <vt:lpstr>Top 10 products by reviews</vt:lpstr>
      <vt:lpstr>Rating by product</vt:lpstr>
      <vt:lpstr>Discount category by products</vt:lpstr>
      <vt:lpstr>DASHBOARD</vt:lpstr>
      <vt:lpstr>INSIGHTS</vt:lpstr>
      <vt:lpstr>Excel_jumia_dataset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Jedidah Ondiso</cp:lastModifiedBy>
  <dcterms:created xsi:type="dcterms:W3CDTF">2026-06-11T17:32:40Z</dcterms:created>
  <dcterms:modified xsi:type="dcterms:W3CDTF">2026-06-12T12:28:18Z</dcterms:modified>
</cp:coreProperties>
</file>